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135" i="77" l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16" i="77" l="1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W70" i="77" l="1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T70" i="77" l="1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T113" i="77" l="1"/>
  <c r="T115" i="77" s="1"/>
  <c r="T123" i="77"/>
  <c r="S124" i="77"/>
  <c r="S113" i="77"/>
  <c r="S115" i="77" s="1"/>
  <c r="S116" i="77" s="1"/>
  <c r="T116" i="77" l="1"/>
  <c r="T124" i="77"/>
  <c r="R70" i="77" l="1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N78" i="77" l="1"/>
  <c r="M78" i="77" l="1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C70" i="77" l="1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AF122" i="77"/>
  <c r="AE122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F119" i="77"/>
  <c r="AE119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AF118" i="77"/>
  <c r="AE118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AF117" i="77"/>
  <c r="AF123" i="77" s="1"/>
  <c r="BJ23" i="77" s="1"/>
  <c r="AE117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V90" i="77"/>
  <c r="BU90" i="77"/>
  <c r="BM90" i="77"/>
  <c r="BF90" i="77"/>
  <c r="BC90" i="77"/>
  <c r="AI90" i="77"/>
  <c r="AH90" i="77"/>
  <c r="BU89" i="77"/>
  <c r="BL89" i="77"/>
  <c r="BK89" i="77"/>
  <c r="BG89" i="77"/>
  <c r="BD89" i="77"/>
  <c r="AI89" i="77"/>
  <c r="AH89" i="77"/>
  <c r="BW88" i="77"/>
  <c r="BV88" i="77"/>
  <c r="BO88" i="77"/>
  <c r="BF88" i="77"/>
  <c r="AI88" i="77"/>
  <c r="AH88" i="77"/>
  <c r="BQ87" i="77"/>
  <c r="BK87" i="77"/>
  <c r="BD87" i="77"/>
  <c r="BA87" i="77"/>
  <c r="AZ87" i="77"/>
  <c r="AI87" i="77"/>
  <c r="AH87" i="77"/>
  <c r="BV86" i="77"/>
  <c r="BU86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AF78" i="77"/>
  <c r="AE78" i="77"/>
  <c r="BI17" i="77" s="1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E113" i="77" s="1"/>
  <c r="AE115" i="77" s="1"/>
  <c r="AE116" i="77" s="1"/>
  <c r="AE7" i="77" s="1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BH22" i="77" l="1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AA124" i="77" l="1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T9" i="77" l="1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<sst xmlns="http://schemas.openxmlformats.org/spreadsheetml/2006/main" count="2197" uniqueCount="418">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</sst>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8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7" priority="47">
      <formula>$AH11=0</formula>
    </cfRule>
  </conditionalFormatting>
  <conditionalFormatting sqref="A101:A102">
    <cfRule type="expression" dxfId="1156" priority="215">
      <formula>$AH106=0</formula>
    </cfRule>
  </conditionalFormatting>
  <conditionalFormatting sqref="A103:A107">
    <cfRule type="expression" dxfId="1155" priority="163">
      <formula>$AH102=0</formula>
    </cfRule>
  </conditionalFormatting>
  <conditionalFormatting sqref="A160:A167">
    <cfRule type="expression" dxfId="1154" priority="216">
      <formula>$AH267=0</formula>
    </cfRule>
  </conditionalFormatting>
  <conditionalFormatting sqref="A168:A275">
    <cfRule type="expression" dxfId="1153" priority="86">
      <formula>$AH168=0</formula>
    </cfRule>
  </conditionalFormatting>
  <conditionalFormatting sqref="B8">
    <cfRule type="expression" dxfId="1152" priority="211">
      <formula>AND(C$9&gt;=14/24,C$9&lt;20/24)</formula>
    </cfRule>
    <cfRule type="expression" dxfId="1151" priority="212">
      <formula>AND(C$9&gt;=8/24,C$9&lt;14/24)</formula>
    </cfRule>
    <cfRule type="expression" dxfId="1150" priority="213">
      <formula>C$9&lt;8/24</formula>
    </cfRule>
    <cfRule type="expression" dxfId="1149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8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7" priority="129">
      <formula>AND(B$9&gt;=14/24,B$9&lt;20/24)</formula>
    </cfRule>
    <cfRule type="expression" dxfId="1146" priority="130">
      <formula>AND(B$9&gt;=8/24,B$9&lt;14/24)</formula>
    </cfRule>
    <cfRule type="expression" dxfId="1145" priority="131">
      <formula>B$9&lt;8/24</formula>
    </cfRule>
  </conditionalFormatting>
  <conditionalFormatting sqref="B29:Y53">
    <cfRule type="expression" dxfId="1144" priority="71">
      <formula>B29&gt;$AG29*1</formula>
    </cfRule>
    <cfRule type="expression" dxfId="1143" priority="72">
      <formula>B$9&gt;=20/24</formula>
    </cfRule>
    <cfRule type="expression" dxfId="1142" priority="73">
      <formula>AND(B$9&gt;=14/24,B$9&lt;20/24)</formula>
    </cfRule>
    <cfRule type="expression" dxfId="1141" priority="74">
      <formula>AND(B$9&gt;=8/24,B$9&lt;14/24)</formula>
    </cfRule>
    <cfRule type="expression" dxfId="1140" priority="75">
      <formula>B$9&lt;8/24</formula>
    </cfRule>
  </conditionalFormatting>
  <conditionalFormatting sqref="B54:Y68">
    <cfRule type="expression" dxfId="1139" priority="64">
      <formula>B$9&lt;8/24</formula>
    </cfRule>
  </conditionalFormatting>
  <conditionalFormatting sqref="B54:Y70">
    <cfRule type="expression" dxfId="1138" priority="61">
      <formula>B$9&gt;=20/24</formula>
    </cfRule>
    <cfRule type="expression" dxfId="1137" priority="62">
      <formula>AND(B$9&gt;=14/24,B$9&lt;20/24)</formula>
    </cfRule>
    <cfRule type="expression" dxfId="1136" priority="63">
      <formula>AND(B$9&gt;=8/24,B$9&lt;14/24)</formula>
    </cfRule>
  </conditionalFormatting>
  <conditionalFormatting sqref="B63:Y65">
    <cfRule type="expression" dxfId="1135" priority="65">
      <formula>B63&gt;$AG63</formula>
    </cfRule>
  </conditionalFormatting>
  <conditionalFormatting sqref="B69:Y70">
    <cfRule type="expression" dxfId="1134" priority="136">
      <formula>B$9&lt;8/24</formula>
    </cfRule>
  </conditionalFormatting>
  <conditionalFormatting sqref="B72:AF75">
    <cfRule type="expression" dxfId="1133" priority="52">
      <formula>B72&gt;$AG72*1</formula>
    </cfRule>
  </conditionalFormatting>
  <conditionalFormatting sqref="B73:AF75">
    <cfRule type="expression" dxfId="1132" priority="53">
      <formula>B$9&gt;=20/24</formula>
    </cfRule>
    <cfRule type="expression" dxfId="1131" priority="54">
      <formula>AND(B$9&gt;=14/24,B$9&lt;20/24)</formula>
    </cfRule>
    <cfRule type="expression" dxfId="1130" priority="55">
      <formula>AND(B$9&gt;=8/24,B$9&lt;14/24)</formula>
    </cfRule>
    <cfRule type="expression" dxfId="1129" priority="56">
      <formula>B$9&lt;8/24</formula>
    </cfRule>
  </conditionalFormatting>
  <conditionalFormatting sqref="F161:AF167">
    <cfRule type="expression" dxfId="1128" priority="87">
      <formula>F$9&gt;=20/24</formula>
    </cfRule>
    <cfRule type="expression" dxfId="1127" priority="88">
      <formula>AND(F$9&gt;=14/24,F$9&lt;20/24)</formula>
    </cfRule>
    <cfRule type="expression" dxfId="1126" priority="89">
      <formula>AND(F$9&gt;=8/24,F$9&lt;14/24)</formula>
    </cfRule>
    <cfRule type="expression" dxfId="1125" priority="90">
      <formula>F$9&lt;8/24</formula>
    </cfRule>
  </conditionalFormatting>
  <conditionalFormatting sqref="F169:AF274">
    <cfRule type="expression" dxfId="1124" priority="48">
      <formula>F$9&gt;=20/24</formula>
    </cfRule>
    <cfRule type="expression" dxfId="1123" priority="49">
      <formula>AND(F$9&gt;=14/24,F$9&lt;20/24)</formula>
    </cfRule>
    <cfRule type="expression" dxfId="1122" priority="50">
      <formula>AND(F$9&gt;=8/24,F$9&lt;14/24)</formula>
    </cfRule>
    <cfRule type="expression" dxfId="1121" priority="51">
      <formula>F$9&lt;8/24</formula>
    </cfRule>
  </conditionalFormatting>
  <conditionalFormatting sqref="AF96:AG96 B71:AG71 Z78:AG78 X91:AF91 B76:W96 B69:Y69 X76:Y90 X92:AE96 Z76:AF77 Z79:AF90 AF92:AF95">
    <cfRule type="expression" dxfId="1120" priority="127">
      <formula>B69&gt;$AG69*1</formula>
    </cfRule>
  </conditionalFormatting>
  <conditionalFormatting sqref="F79:Y83">
    <cfRule type="expression" dxfId="1119" priority="137">
      <formula>F$9&gt;=20/24</formula>
    </cfRule>
    <cfRule type="expression" dxfId="1118" priority="138">
      <formula>AND(F$9&gt;=14/24,F$9&lt;20/24)</formula>
    </cfRule>
    <cfRule type="expression" dxfId="1117" priority="139">
      <formula>AND(F$9&gt;=8/24,F$9&lt;14/24)</formula>
    </cfRule>
    <cfRule type="expression" dxfId="1116" priority="140">
      <formula>F$9&lt;8/24</formula>
    </cfRule>
  </conditionalFormatting>
  <conditionalFormatting sqref="F84:Y84">
    <cfRule type="expression" dxfId="1115" priority="132">
      <formula>F$9&gt;=20/24</formula>
    </cfRule>
    <cfRule type="expression" dxfId="1114" priority="133">
      <formula>AND(F$9&gt;=14/24,F$9&lt;20/24)</formula>
    </cfRule>
    <cfRule type="expression" dxfId="1113" priority="134">
      <formula>AND(F$9&gt;=8/24,F$9&lt;14/24)</formula>
    </cfRule>
    <cfRule type="expression" dxfId="1112" priority="135">
      <formula>F$9&lt;8/24</formula>
    </cfRule>
  </conditionalFormatting>
  <conditionalFormatting sqref="F78:AF78 B72:AF72">
    <cfRule type="expression" dxfId="1111" priority="147">
      <formula>B$9&gt;=20/24</formula>
    </cfRule>
    <cfRule type="expression" dxfId="1110" priority="148">
      <formula>AND(B$9&gt;=14/24,B$9&lt;20/24)</formula>
    </cfRule>
    <cfRule type="expression" dxfId="1109" priority="149">
      <formula>AND(B$9&gt;=8/24,B$9&lt;14/24)</formula>
    </cfRule>
    <cfRule type="expression" dxfId="1108" priority="150">
      <formula>B$9&lt;8/24</formula>
    </cfRule>
  </conditionalFormatting>
  <conditionalFormatting sqref="F79:Y81">
    <cfRule type="expression" dxfId="1107" priority="155">
      <formula>F$9&gt;=20/24</formula>
    </cfRule>
    <cfRule type="expression" dxfId="1106" priority="156">
      <formula>AND(F$9&gt;=14/24,F$9&lt;20/24)</formula>
    </cfRule>
    <cfRule type="expression" dxfId="1105" priority="157">
      <formula>AND(F$9&gt;=8/24,F$9&lt;14/24)</formula>
    </cfRule>
    <cfRule type="expression" dxfId="1104" priority="158">
      <formula>F$9&lt;8/24</formula>
    </cfRule>
  </conditionalFormatting>
  <conditionalFormatting sqref="L84:AF84">
    <cfRule type="expression" dxfId="1103" priority="151">
      <formula>L$9&gt;=20/24</formula>
    </cfRule>
    <cfRule type="expression" dxfId="1102" priority="152">
      <formula>AND(L$9&gt;=14/24,L$9&lt;20/24)</formula>
    </cfRule>
    <cfRule type="expression" dxfId="1101" priority="153">
      <formula>AND(L$9&gt;=8/24,L$9&lt;14/24)</formula>
    </cfRule>
    <cfRule type="expression" dxfId="1100" priority="154">
      <formula>L$9&lt;8/24</formula>
    </cfRule>
  </conditionalFormatting>
  <conditionalFormatting sqref="M8 S8 AB8">
    <cfRule type="expression" dxfId="1099" priority="204">
      <formula>AND(N$9&gt;=14/24,N$9&lt;20/24)</formula>
    </cfRule>
    <cfRule type="expression" dxfId="1098" priority="205">
      <formula>AND(N$9&gt;=8/24,N$9&lt;14/24)</formula>
    </cfRule>
    <cfRule type="expression" dxfId="1097" priority="206">
      <formula>N$9&lt;8/24</formula>
    </cfRule>
  </conditionalFormatting>
  <conditionalFormatting sqref="T79:Y83 Z80:AF83">
    <cfRule type="expression" dxfId="1096" priority="159">
      <formula>T$9&gt;=20/24</formula>
    </cfRule>
    <cfRule type="expression" dxfId="1095" priority="160">
      <formula>AND(T$9&gt;=14/24,T$9&lt;20/24)</formula>
    </cfRule>
    <cfRule type="expression" dxfId="1094" priority="161">
      <formula>AND(T$9&gt;=8/24,T$9&lt;14/24)</formula>
    </cfRule>
    <cfRule type="expression" dxfId="109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92" priority="203">
      <formula>N$9&gt;=20/24</formula>
    </cfRule>
  </conditionalFormatting>
  <conditionalFormatting sqref="S8">
    <cfRule type="expression" dxfId="1091" priority="194">
      <formula>U$9&gt;=20/24</formula>
    </cfRule>
    <cfRule type="expression" dxfId="1090" priority="195">
      <formula>AND(U$9&gt;=14/24,U$9&lt;20/24)</formula>
    </cfRule>
    <cfRule type="expression" dxfId="1089" priority="196">
      <formula>AND(U$9&gt;=8/24,U$9&lt;14/24)</formula>
    </cfRule>
    <cfRule type="expression" dxfId="1088" priority="197">
      <formula>U$9&lt;8/24</formula>
    </cfRule>
  </conditionalFormatting>
  <conditionalFormatting sqref="T79:AF84">
    <cfRule type="expression" dxfId="1087" priority="81">
      <formula>T$9&gt;=20/24</formula>
    </cfRule>
    <cfRule type="expression" dxfId="1086" priority="82">
      <formula>AND(T$9&gt;=14/24,T$9&lt;20/24)</formula>
    </cfRule>
    <cfRule type="expression" dxfId="1085" priority="83">
      <formula>AND(T$9&gt;=8/24,T$9&lt;14/24)</formula>
    </cfRule>
    <cfRule type="expression" dxfId="108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83" priority="141">
      <formula>B54&gt;$AG54</formula>
    </cfRule>
  </conditionalFormatting>
  <conditionalFormatting sqref="AB8">
    <cfRule type="expression" dxfId="1082" priority="190">
      <formula>AD$9&gt;=20/24</formula>
    </cfRule>
    <cfRule type="expression" dxfId="1081" priority="191">
      <formula>AND(AD$9&gt;=14/24,AD$9&lt;20/24)</formula>
    </cfRule>
    <cfRule type="expression" dxfId="1080" priority="192">
      <formula>AND(AD$9&gt;=8/24,AD$9&lt;14/24)</formula>
    </cfRule>
    <cfRule type="expression" dxfId="1079" priority="193">
      <formula>AD$9&lt;8/24</formula>
    </cfRule>
  </conditionalFormatting>
  <conditionalFormatting sqref="AG78">
    <cfRule type="expression" dxfId="1078" priority="169">
      <formula>AG$9&gt;=20/24</formula>
    </cfRule>
    <cfRule type="expression" dxfId="1077" priority="170">
      <formula>AND(AG$9&gt;=14/24,AG$9&lt;20/24)</formula>
    </cfRule>
    <cfRule type="expression" dxfId="1076" priority="171">
      <formula>AND(AG$9&gt;=8/24,AG$9&lt;14/24)</formula>
    </cfRule>
    <cfRule type="expression" dxfId="1075" priority="172">
      <formula>AG$9&lt;8/24</formula>
    </cfRule>
  </conditionalFormatting>
  <conditionalFormatting sqref="AG91:AG92">
    <cfRule type="expression" dxfId="1074" priority="164">
      <formula>AG91&gt;$AG91</formula>
    </cfRule>
  </conditionalFormatting>
  <conditionalFormatting sqref="AG96">
    <cfRule type="expression" dxfId="1073" priority="165">
      <formula>AG$9&gt;=20/24</formula>
    </cfRule>
    <cfRule type="expression" dxfId="1072" priority="166">
      <formula>AND(AG$9&gt;=14/24,AG$9&lt;20/24)</formula>
    </cfRule>
    <cfRule type="expression" dxfId="1071" priority="167">
      <formula>AND(AG$9&gt;=8/24,AG$9&lt;14/24)</formula>
    </cfRule>
    <cfRule type="expression" dxfId="1070" priority="168">
      <formula>AG$9&lt;8/24</formula>
    </cfRule>
  </conditionalFormatting>
  <conditionalFormatting sqref="AG113">
    <cfRule type="expression" dxfId="1069" priority="186">
      <formula>AG$9&gt;=20/24</formula>
    </cfRule>
    <cfRule type="expression" dxfId="1068" priority="187">
      <formula>AND(AG$9&gt;=14/24,AG$9&lt;20/24)</formula>
    </cfRule>
    <cfRule type="expression" dxfId="1067" priority="188">
      <formula>AND(AG$9&gt;=8/24,AG$9&lt;14/24)</formula>
    </cfRule>
    <cfRule type="expression" dxfId="1066" priority="189">
      <formula>AG$9&lt;8/24</formula>
    </cfRule>
  </conditionalFormatting>
  <conditionalFormatting sqref="AH8:AI10">
    <cfRule type="expression" dxfId="1065" priority="77">
      <formula>AH$9&gt;=20/24</formula>
    </cfRule>
    <cfRule type="expression" dxfId="1064" priority="78">
      <formula>AND(AH$9&gt;=14/24,AH$9&lt;20/24)</formula>
    </cfRule>
    <cfRule type="expression" dxfId="1063" priority="79">
      <formula>AND(AH$9&gt;=8/24,AH$9&lt;14/24)</formula>
    </cfRule>
    <cfRule type="expression" dxfId="106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61" priority="207">
      <formula>AJ$9&gt;=20/24</formula>
    </cfRule>
    <cfRule type="expression" dxfId="1060" priority="208">
      <formula>AND(AJ$9&gt;=14/24,AJ$9&lt;20/24)</formula>
    </cfRule>
    <cfRule type="expression" dxfId="1059" priority="209">
      <formula>AND(AJ$9&gt;=8/24,AJ$9&lt;14/24)</formula>
    </cfRule>
    <cfRule type="expression" dxfId="1058" priority="210">
      <formula>AJ$9&lt;8/24</formula>
    </cfRule>
  </conditionalFormatting>
  <conditionalFormatting sqref="AL99:AN99 AL105:AN105">
    <cfRule type="expression" dxfId="1057" priority="179">
      <formula>AL$9&gt;=20/24</formula>
    </cfRule>
    <cfRule type="expression" dxfId="1056" priority="180">
      <formula>AND(AL$9&gt;=14/24,AL$9&lt;20/24)</formula>
    </cfRule>
    <cfRule type="expression" dxfId="1055" priority="181">
      <formula>AND(AL$9&gt;=8/24,AL$9&lt;14/24)</formula>
    </cfRule>
    <cfRule type="expression" dxfId="1054" priority="182">
      <formula>AL$9&lt;8/24</formula>
    </cfRule>
  </conditionalFormatting>
  <conditionalFormatting sqref="AM15:AM21 AN16:AR21">
    <cfRule type="expression" dxfId="1053" priority="103">
      <formula>AX$9&gt;=20/24</formula>
    </cfRule>
    <cfRule type="expression" dxfId="1052" priority="104">
      <formula>AND(AX$9&gt;=14/24,AX$9&lt;20/24)</formula>
    </cfRule>
    <cfRule type="expression" dxfId="1051" priority="105">
      <formula>AND(AX$9&gt;=8/24,AX$9&lt;14/24)</formula>
    </cfRule>
    <cfRule type="expression" dxfId="1050" priority="106">
      <formula>AX$9&lt;8/24</formula>
    </cfRule>
  </conditionalFormatting>
  <conditionalFormatting sqref="AN100:AN103">
    <cfRule type="expression" dxfId="1049" priority="175">
      <formula>AN$9&gt;=20/24</formula>
    </cfRule>
    <cfRule type="expression" dxfId="1048" priority="176">
      <formula>AND(AN$9&gt;=14/24,AN$9&lt;20/24)</formula>
    </cfRule>
    <cfRule type="expression" dxfId="1047" priority="177">
      <formula>AND(AN$9&gt;=8/24,AN$9&lt;14/24)</formula>
    </cfRule>
    <cfRule type="expression" dxfId="1046" priority="178">
      <formula>AN$9&lt;8/24</formula>
    </cfRule>
  </conditionalFormatting>
  <conditionalFormatting sqref="AN15:AR15">
    <cfRule type="expression" dxfId="1045" priority="91">
      <formula>U$9&gt;=20/24</formula>
    </cfRule>
    <cfRule type="expression" dxfId="1044" priority="92">
      <formula>AND(U$9&gt;=14/24,U$9&lt;20/24)</formula>
    </cfRule>
    <cfRule type="expression" dxfId="1043" priority="93">
      <formula>AND(U$9&gt;=8/24,U$9&lt;14/24)</formula>
    </cfRule>
    <cfRule type="expression" dxfId="1042" priority="94">
      <formula>U$9&lt;8/24</formula>
    </cfRule>
  </conditionalFormatting>
  <conditionalFormatting sqref="AS15">
    <cfRule type="expression" dxfId="1041" priority="99">
      <formula>AA$9&gt;=20/24</formula>
    </cfRule>
    <cfRule type="expression" dxfId="1040" priority="100">
      <formula>AND(AA$9&gt;=14/24,AA$9&lt;20/24)</formula>
    </cfRule>
    <cfRule type="expression" dxfId="1039" priority="101">
      <formula>AND(AA$9&gt;=8/24,AA$9&lt;14/24)</formula>
    </cfRule>
    <cfRule type="expression" dxfId="1038" priority="102">
      <formula>AA$9&lt;8/24</formula>
    </cfRule>
  </conditionalFormatting>
  <conditionalFormatting sqref="AS16:AS21">
    <cfRule type="expression" dxfId="1037" priority="107">
      <formula>BE$9&gt;=20/24</formula>
    </cfRule>
    <cfRule type="expression" dxfId="1036" priority="108">
      <formula>AND(BE$9&gt;=14/24,BE$9&lt;20/24)</formula>
    </cfRule>
    <cfRule type="expression" dxfId="1035" priority="109">
      <formula>AND(BE$9&gt;=8/24,BE$9&lt;14/24)</formula>
    </cfRule>
    <cfRule type="expression" dxfId="1034" priority="110">
      <formula>BE$9&lt;8/24</formula>
    </cfRule>
  </conditionalFormatting>
  <conditionalFormatting sqref="AT15 AX15:BJ15">
    <cfRule type="expression" dxfId="1033" priority="111">
      <formula>AC$9&gt;=20/24</formula>
    </cfRule>
    <cfRule type="expression" dxfId="1032" priority="112">
      <formula>AND(AC$9&gt;=14/24,AC$9&lt;20/24)</formula>
    </cfRule>
    <cfRule type="expression" dxfId="1031" priority="113">
      <formula>AND(AC$9&gt;=8/24,AC$9&lt;14/24)</formula>
    </cfRule>
    <cfRule type="expression" dxfId="1030" priority="114">
      <formula>AC$9&lt;8/24</formula>
    </cfRule>
  </conditionalFormatting>
  <conditionalFormatting sqref="AT16:AT21">
    <cfRule type="expression" dxfId="1029" priority="115">
      <formula>BG$9&gt;=20/24</formula>
    </cfRule>
    <cfRule type="expression" dxfId="1028" priority="116">
      <formula>AND(BG$9&gt;=14/24,BG$9&lt;20/24)</formula>
    </cfRule>
    <cfRule type="expression" dxfId="1027" priority="117">
      <formula>AND(BG$9&gt;=8/24,BG$9&lt;14/24)</formula>
    </cfRule>
    <cfRule type="expression" dxfId="1026" priority="118">
      <formula>BG$9&lt;8/24</formula>
    </cfRule>
  </conditionalFormatting>
  <conditionalFormatting sqref="AU15:AV15">
    <cfRule type="expression" dxfId="1025" priority="119">
      <formula>AE$9&gt;=20/24</formula>
    </cfRule>
    <cfRule type="expression" dxfId="1024" priority="120">
      <formula>AND(AE$9&gt;=14/24,AE$9&lt;20/24)</formula>
    </cfRule>
    <cfRule type="expression" dxfId="1023" priority="121">
      <formula>AND(AE$9&gt;=8/24,AE$9&lt;14/24)</formula>
    </cfRule>
    <cfRule type="expression" dxfId="1022" priority="122">
      <formula>AE$9&lt;8/24</formula>
    </cfRule>
  </conditionalFormatting>
  <conditionalFormatting sqref="AU16:BJ21">
    <cfRule type="expression" dxfId="1021" priority="123">
      <formula>BI$9&gt;=20/24</formula>
    </cfRule>
    <cfRule type="expression" dxfId="1020" priority="124">
      <formula>AND(BI$9&gt;=14/24,BI$9&lt;20/24)</formula>
    </cfRule>
    <cfRule type="expression" dxfId="1019" priority="125">
      <formula>AND(BI$9&gt;=8/24,BI$9&lt;14/24)</formula>
    </cfRule>
    <cfRule type="expression" dxfId="1018" priority="126">
      <formula>BI$9&lt;8/24</formula>
    </cfRule>
  </conditionalFormatting>
  <conditionalFormatting sqref="AW15">
    <cfRule type="expression" dxfId="1017" priority="95">
      <formula>B$9&gt;=20/24</formula>
    </cfRule>
    <cfRule type="expression" dxfId="1016" priority="96">
      <formula>AND(B$9&gt;=14/24,B$9&lt;20/24)</formula>
    </cfRule>
    <cfRule type="expression" dxfId="1015" priority="97">
      <formula>AND(B$9&gt;=8/24,B$9&lt;14/24)</formula>
    </cfRule>
    <cfRule type="expression" dxfId="1014" priority="98">
      <formula>B$9&lt;8/24</formula>
    </cfRule>
  </conditionalFormatting>
  <conditionalFormatting sqref="A73">
    <cfRule type="expression" dxfId="1013" priority="46">
      <formula>$AH73=0</formula>
    </cfRule>
  </conditionalFormatting>
  <conditionalFormatting sqref="B97:E107 B137:E152 B109:E112 B125:E134 B154:E159 F97:F102 G98:G102 F126:G133 F137:G151 B11:Y13 AA11:AF13">
    <cfRule type="expression" dxfId="1012" priority="42">
      <formula>B$9&gt;=20/24</formula>
    </cfRule>
  </conditionalFormatting>
  <conditionalFormatting sqref="B97:E107 B137:E152 B109:E112 B125:E134 B154:E159 F97:F102 G98:G102 F126:G133 F137:G151 B11:Y13 AA11:AF13">
    <cfRule type="expression" dxfId="1011" priority="43">
      <formula>AND(B$9&gt;=14/24,B$9&lt;20/24)</formula>
    </cfRule>
    <cfRule type="expression" dxfId="1010" priority="44">
      <formula>AND(B$9&gt;=8/24,B$9&lt;14/24)</formula>
    </cfRule>
    <cfRule type="expression" dxfId="1009" priority="45">
      <formula>B$9&lt;8/24</formula>
    </cfRule>
  </conditionalFormatting>
  <conditionalFormatting sqref="B14:Y28 AA14:AF16">
    <cfRule type="expression" dxfId="1008" priority="32">
      <formula>B14&gt;$AG14*1</formula>
    </cfRule>
    <cfRule type="expression" dxfId="1007" priority="33">
      <formula>B$9&gt;=20/24</formula>
    </cfRule>
    <cfRule type="expression" dxfId="1006" priority="34">
      <formula>AND(B$9&gt;=14/24,B$9&lt;20/24)</formula>
    </cfRule>
    <cfRule type="expression" dxfId="1005" priority="35">
      <formula>AND(B$9&gt;=8/24,B$9&lt;14/24)</formula>
    </cfRule>
    <cfRule type="expression" dxfId="1004" priority="36">
      <formula>B$9&lt;8/24</formula>
    </cfRule>
  </conditionalFormatting>
  <conditionalFormatting sqref="B161:E167">
    <cfRule type="expression" dxfId="1003" priority="37">
      <formula>B$9&gt;=20/24</formula>
    </cfRule>
    <cfRule type="expression" dxfId="1002" priority="38">
      <formula>AND(B$9&gt;=14/24,B$9&lt;20/24)</formula>
    </cfRule>
    <cfRule type="expression" dxfId="1001" priority="39">
      <formula>AND(B$9&gt;=8/24,B$9&lt;14/24)</formula>
    </cfRule>
    <cfRule type="expression" dxfId="1000" priority="40">
      <formula>B$9&lt;8/24</formula>
    </cfRule>
  </conditionalFormatting>
  <conditionalFormatting sqref="B169:E274">
    <cfRule type="expression" dxfId="999" priority="28">
      <formula>B$9&gt;=20/24</formula>
    </cfRule>
    <cfRule type="expression" dxfId="998" priority="29">
      <formula>AND(B$9&gt;=14/24,B$9&lt;20/24)</formula>
    </cfRule>
    <cfRule type="expression" dxfId="997" priority="30">
      <formula>AND(B$9&gt;=8/24,B$9&lt;14/24)</formula>
    </cfRule>
    <cfRule type="expression" dxfId="996" priority="31">
      <formula>B$9&lt;8/24</formula>
    </cfRule>
  </conditionalFormatting>
  <conditionalFormatting sqref="B11:Y13 AA11:AF13">
    <cfRule type="expression" dxfId="995" priority="41">
      <formula>B11&gt;$AG11*1</formula>
    </cfRule>
  </conditionalFormatting>
  <conditionalFormatting sqref="A153">
    <cfRule type="expression" dxfId="99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93" priority="23">
      <formula>AL$9&gt;=20/24</formula>
    </cfRule>
  </conditionalFormatting>
  <conditionalFormatting sqref="AL153">
    <cfRule type="expression" dxfId="992" priority="24">
      <formula>AND(AL$9&gt;=14/24,AL$9&lt;20/24)</formula>
    </cfRule>
    <cfRule type="expression" dxfId="991" priority="25">
      <formula>AND(AL$9&gt;=8/24,AL$9&lt;14/24)</formula>
    </cfRule>
    <cfRule type="expression" dxfId="990" priority="26">
      <formula>AL$9&lt;8/24</formula>
    </cfRule>
  </conditionalFormatting>
  <conditionalFormatting sqref="Z56:AF68">
    <cfRule type="expression" dxfId="989" priority="1">
      <formula>Z$9&gt;=20/24</formula>
    </cfRule>
    <cfRule type="expression" dxfId="988" priority="2">
      <formula>AND(Z$9&gt;=14/24,Z$9&lt;20/24)</formula>
    </cfRule>
    <cfRule type="expression" dxfId="987" priority="3">
      <formula>AND(Z$9&gt;=8/24,Z$9&lt;14/24)</formula>
    </cfRule>
  </conditionalFormatting>
  <conditionalFormatting sqref="Z11:Z13">
    <cfRule type="expression" dxfId="986" priority="17">
      <formula>Z$9&gt;=20/24</formula>
    </cfRule>
  </conditionalFormatting>
  <conditionalFormatting sqref="Z11:Z13">
    <cfRule type="expression" dxfId="985" priority="18">
      <formula>AND(Z$9&gt;=14/24,Z$9&lt;20/24)</formula>
    </cfRule>
    <cfRule type="expression" dxfId="984" priority="19">
      <formula>AND(Z$9&gt;=8/24,Z$9&lt;14/24)</formula>
    </cfRule>
    <cfRule type="expression" dxfId="983" priority="20">
      <formula>Z$9&lt;8/24</formula>
    </cfRule>
  </conditionalFormatting>
  <conditionalFormatting sqref="Z14:Z53 AA17:AF53">
    <cfRule type="expression" dxfId="982" priority="11">
      <formula>Z14&gt;$AG14*1</formula>
    </cfRule>
    <cfRule type="expression" dxfId="981" priority="12">
      <formula>Z$9&gt;=20/24</formula>
    </cfRule>
    <cfRule type="expression" dxfId="980" priority="13">
      <formula>AND(Z$9&gt;=14/24,Z$9&lt;20/24)</formula>
    </cfRule>
    <cfRule type="expression" dxfId="979" priority="14">
      <formula>AND(Z$9&gt;=8/24,Z$9&lt;14/24)</formula>
    </cfRule>
    <cfRule type="expression" dxfId="978" priority="15">
      <formula>Z$9&lt;8/24</formula>
    </cfRule>
  </conditionalFormatting>
  <conditionalFormatting sqref="Z54:AF55">
    <cfRule type="expression" dxfId="977" priority="10">
      <formula>Z$9&lt;8/24</formula>
    </cfRule>
  </conditionalFormatting>
  <conditionalFormatting sqref="Z54:AF55 Z69:AF70">
    <cfRule type="expression" dxfId="976" priority="7">
      <formula>Z$9&gt;=20/24</formula>
    </cfRule>
    <cfRule type="expression" dxfId="975" priority="8">
      <formula>AND(Z$9&gt;=14/24,Z$9&lt;20/24)</formula>
    </cfRule>
    <cfRule type="expression" dxfId="974" priority="9">
      <formula>AND(Z$9&gt;=8/24,Z$9&lt;14/24)</formula>
    </cfRule>
  </conditionalFormatting>
  <conditionalFormatting sqref="Z69:AF70">
    <cfRule type="expression" dxfId="973" priority="21">
      <formula>Z$9&lt;8/24</formula>
    </cfRule>
  </conditionalFormatting>
  <conditionalFormatting sqref="Z11:Z13 Z69:AF69">
    <cfRule type="expression" dxfId="972" priority="16">
      <formula>Z11&gt;$AG11*1</formula>
    </cfRule>
  </conditionalFormatting>
  <conditionalFormatting sqref="Z54:AF55 Z69:AF70">
    <cfRule type="expression" dxfId="971" priority="22">
      <formula>Z54&gt;$AG54</formula>
    </cfRule>
  </conditionalFormatting>
  <conditionalFormatting sqref="Z56:AF68">
    <cfRule type="expression" dxfId="970" priority="4">
      <formula>Z$9&lt;8/24</formula>
    </cfRule>
  </conditionalFormatting>
  <conditionalFormatting sqref="Z63:AF65">
    <cfRule type="expression" dxfId="969" priority="5">
      <formula>Z63&gt;$AG63</formula>
    </cfRule>
  </conditionalFormatting>
  <conditionalFormatting sqref="Z66:AF68 Z56:AF62">
    <cfRule type="expression" dxfId="968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7" priority="97">
      <formula>$AH11=0</formula>
    </cfRule>
  </conditionalFormatting>
  <conditionalFormatting sqref="A101:A102">
    <cfRule type="expression" dxfId="966" priority="265">
      <formula>$AH106=0</formula>
    </cfRule>
  </conditionalFormatting>
  <conditionalFormatting sqref="A103:A107">
    <cfRule type="expression" dxfId="965" priority="213">
      <formula>$AH102=0</formula>
    </cfRule>
  </conditionalFormatting>
  <conditionalFormatting sqref="A160:A167">
    <cfRule type="expression" dxfId="964" priority="266">
      <formula>$AH267=0</formula>
    </cfRule>
  </conditionalFormatting>
  <conditionalFormatting sqref="A168:A275">
    <cfRule type="expression" dxfId="963" priority="136">
      <formula>$AH168=0</formula>
    </cfRule>
  </conditionalFormatting>
  <conditionalFormatting sqref="B8">
    <cfRule type="expression" dxfId="962" priority="261">
      <formula>AND(C$9&gt;=14/24,C$9&lt;20/24)</formula>
    </cfRule>
    <cfRule type="expression" dxfId="961" priority="262">
      <formula>AND(C$9&gt;=8/24,C$9&lt;14/24)</formula>
    </cfRule>
    <cfRule type="expression" dxfId="960" priority="263">
      <formula>C$9&lt;8/24</formula>
    </cfRule>
    <cfRule type="expression" dxfId="959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8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7" priority="179">
      <formula>AND(B$9&gt;=14/24,B$9&lt;20/24)</formula>
    </cfRule>
    <cfRule type="expression" dxfId="956" priority="180">
      <formula>AND(B$9&gt;=8/24,B$9&lt;14/24)</formula>
    </cfRule>
    <cfRule type="expression" dxfId="955" priority="181">
      <formula>B$9&lt;8/24</formula>
    </cfRule>
  </conditionalFormatting>
  <conditionalFormatting sqref="AA14:AF53">
    <cfRule type="expression" dxfId="954" priority="121">
      <formula>AA14&gt;$AG14*1</formula>
    </cfRule>
    <cfRule type="expression" dxfId="953" priority="122">
      <formula>AA$9&gt;=20/24</formula>
    </cfRule>
    <cfRule type="expression" dxfId="952" priority="123">
      <formula>AND(AA$9&gt;=14/24,AA$9&lt;20/24)</formula>
    </cfRule>
    <cfRule type="expression" dxfId="951" priority="124">
      <formula>AND(AA$9&gt;=8/24,AA$9&lt;14/24)</formula>
    </cfRule>
    <cfRule type="expression" dxfId="950" priority="125">
      <formula>AA$9&lt;8/24</formula>
    </cfRule>
  </conditionalFormatting>
  <conditionalFormatting sqref="AA54:AF68">
    <cfRule type="expression" dxfId="949" priority="114">
      <formula>AA$9&lt;8/24</formula>
    </cfRule>
  </conditionalFormatting>
  <conditionalFormatting sqref="AA54:AF70">
    <cfRule type="expression" dxfId="948" priority="111">
      <formula>AA$9&gt;=20/24</formula>
    </cfRule>
    <cfRule type="expression" dxfId="947" priority="112">
      <formula>AND(AA$9&gt;=14/24,AA$9&lt;20/24)</formula>
    </cfRule>
    <cfRule type="expression" dxfId="946" priority="113">
      <formula>AND(AA$9&gt;=8/24,AA$9&lt;14/24)</formula>
    </cfRule>
  </conditionalFormatting>
  <conditionalFormatting sqref="AA63:AF65">
    <cfRule type="expression" dxfId="945" priority="115">
      <formula>AA63&gt;$AG63</formula>
    </cfRule>
  </conditionalFormatting>
  <conditionalFormatting sqref="AA69:AF70">
    <cfRule type="expression" dxfId="944" priority="186">
      <formula>AA$9&lt;8/24</formula>
    </cfRule>
  </conditionalFormatting>
  <conditionalFormatting sqref="AA72:AF75">
    <cfRule type="expression" dxfId="943" priority="102">
      <formula>AA72&gt;$AG72*1</formula>
    </cfRule>
  </conditionalFormatting>
  <conditionalFormatting sqref="AA73:AF75">
    <cfRule type="expression" dxfId="942" priority="103">
      <formula>AA$9&gt;=20/24</formula>
    </cfRule>
    <cfRule type="expression" dxfId="941" priority="104">
      <formula>AND(AA$9&gt;=14/24,AA$9&lt;20/24)</formula>
    </cfRule>
    <cfRule type="expression" dxfId="940" priority="105">
      <formula>AND(AA$9&gt;=8/24,AA$9&lt;14/24)</formula>
    </cfRule>
    <cfRule type="expression" dxfId="939" priority="106">
      <formula>AA$9&lt;8/24</formula>
    </cfRule>
  </conditionalFormatting>
  <conditionalFormatting sqref="C161:AF167">
    <cfRule type="expression" dxfId="938" priority="137">
      <formula>C$9&gt;=20/24</formula>
    </cfRule>
    <cfRule type="expression" dxfId="937" priority="138">
      <formula>AND(C$9&gt;=14/24,C$9&lt;20/24)</formula>
    </cfRule>
    <cfRule type="expression" dxfId="936" priority="139">
      <formula>AND(C$9&gt;=8/24,C$9&lt;14/24)</formula>
    </cfRule>
    <cfRule type="expression" dxfId="935" priority="140">
      <formula>C$9&lt;8/24</formula>
    </cfRule>
  </conditionalFormatting>
  <conditionalFormatting sqref="C169:AF274">
    <cfRule type="expression" dxfId="934" priority="98">
      <formula>C$9&gt;=20/24</formula>
    </cfRule>
    <cfRule type="expression" dxfId="933" priority="99">
      <formula>AND(C$9&gt;=14/24,C$9&lt;20/24)</formula>
    </cfRule>
    <cfRule type="expression" dxfId="932" priority="100">
      <formula>AND(C$9&gt;=8/24,C$9&lt;14/24)</formula>
    </cfRule>
    <cfRule type="expression" dxfId="931" priority="101">
      <formula>C$9&lt;8/24</formula>
    </cfRule>
  </conditionalFormatting>
  <conditionalFormatting sqref="B96:M96 B91:D92 E91:M95 AA96:AG96 N91:Z96 B71:AG71 B78:AG78 AA11:AF13 AA69:AF70 AA76:AF77 AA79:AF95">
    <cfRule type="expression" dxfId="930" priority="177">
      <formula>B11&gt;$AG11*1</formula>
    </cfRule>
  </conditionalFormatting>
  <conditionalFormatting sqref="G78:AF78 AA72:AF72 AA76:AF77">
    <cfRule type="expression" dxfId="929" priority="197">
      <formula>G$9&gt;=20/24</formula>
    </cfRule>
    <cfRule type="expression" dxfId="928" priority="198">
      <formula>AND(G$9&gt;=14/24,G$9&lt;20/24)</formula>
    </cfRule>
    <cfRule type="expression" dxfId="927" priority="199">
      <formula>AND(G$9&gt;=8/24,G$9&lt;14/24)</formula>
    </cfRule>
    <cfRule type="expression" dxfId="926" priority="200">
      <formula>G$9&lt;8/24</formula>
    </cfRule>
  </conditionalFormatting>
  <conditionalFormatting sqref="AA73:AF75">
    <cfRule type="expression" dxfId="925" priority="107">
      <formula>AA$9&gt;=20/24</formula>
    </cfRule>
    <cfRule type="expression" dxfId="924" priority="108">
      <formula>AND(AA$9&gt;=14/24,AA$9&lt;20/24)</formula>
    </cfRule>
    <cfRule type="expression" dxfId="923" priority="109">
      <formula>AND(AA$9&gt;=8/24,AA$9&lt;14/24)</formula>
    </cfRule>
    <cfRule type="expression" dxfId="922" priority="110">
      <formula>AA$9&lt;8/24</formula>
    </cfRule>
  </conditionalFormatting>
  <conditionalFormatting sqref="AA84:AF84">
    <cfRule type="expression" dxfId="921" priority="201">
      <formula>AA$9&gt;=20/24</formula>
    </cfRule>
    <cfRule type="expression" dxfId="920" priority="202">
      <formula>AND(AA$9&gt;=14/24,AA$9&lt;20/24)</formula>
    </cfRule>
    <cfRule type="expression" dxfId="919" priority="203">
      <formula>AND(AA$9&gt;=8/24,AA$9&lt;14/24)</formula>
    </cfRule>
    <cfRule type="expression" dxfId="918" priority="204">
      <formula>AA$9&lt;8/24</formula>
    </cfRule>
  </conditionalFormatting>
  <conditionalFormatting sqref="M8 S8 AB8">
    <cfRule type="expression" dxfId="917" priority="254">
      <formula>AND(N$9&gt;=14/24,N$9&lt;20/24)</formula>
    </cfRule>
    <cfRule type="expression" dxfId="916" priority="255">
      <formula>AND(N$9&gt;=8/24,N$9&lt;14/24)</formula>
    </cfRule>
    <cfRule type="expression" dxfId="915" priority="256">
      <formula>N$9&lt;8/24</formula>
    </cfRule>
  </conditionalFormatting>
  <conditionalFormatting sqref="AA80:AF83">
    <cfRule type="expression" dxfId="914" priority="209">
      <formula>AA$9&gt;=20/24</formula>
    </cfRule>
    <cfRule type="expression" dxfId="913" priority="210">
      <formula>AND(AA$9&gt;=14/24,AA$9&lt;20/24)</formula>
    </cfRule>
    <cfRule type="expression" dxfId="912" priority="211">
      <formula>AND(AA$9&gt;=8/24,AA$9&lt;14/24)</formula>
    </cfRule>
    <cfRule type="expression" dxfId="911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10" priority="253">
      <formula>N$9&gt;=20/24</formula>
    </cfRule>
  </conditionalFormatting>
  <conditionalFormatting sqref="S8">
    <cfRule type="expression" dxfId="909" priority="244">
      <formula>U$9&gt;=20/24</formula>
    </cfRule>
    <cfRule type="expression" dxfId="908" priority="245">
      <formula>AND(U$9&gt;=14/24,U$9&lt;20/24)</formula>
    </cfRule>
    <cfRule type="expression" dxfId="907" priority="246">
      <formula>AND(U$9&gt;=8/24,U$9&lt;14/24)</formula>
    </cfRule>
    <cfRule type="expression" dxfId="906" priority="247">
      <formula>U$9&lt;8/24</formula>
    </cfRule>
  </conditionalFormatting>
  <conditionalFormatting sqref="AA79:AF84">
    <cfRule type="expression" dxfId="905" priority="131">
      <formula>AA$9&gt;=20/24</formula>
    </cfRule>
    <cfRule type="expression" dxfId="904" priority="132">
      <formula>AND(AA$9&gt;=14/24,AA$9&lt;20/24)</formula>
    </cfRule>
    <cfRule type="expression" dxfId="903" priority="133">
      <formula>AND(AA$9&gt;=8/24,AA$9&lt;14/24)</formula>
    </cfRule>
    <cfRule type="expression" dxfId="902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901" priority="116">
      <formula>AA$9&gt;=20/24</formula>
    </cfRule>
    <cfRule type="expression" dxfId="900" priority="117">
      <formula>AND(AA$9&gt;=14/24,AA$9&lt;20/24)</formula>
    </cfRule>
    <cfRule type="expression" dxfId="899" priority="118">
      <formula>AND(AA$9&gt;=8/24,AA$9&lt;14/24)</formula>
    </cfRule>
    <cfRule type="expression" dxfId="898" priority="119">
      <formula>AA$9&lt;8/24</formula>
    </cfRule>
  </conditionalFormatting>
  <conditionalFormatting sqref="AA54:AF62 AA66:AF69">
    <cfRule type="expression" dxfId="896" priority="191">
      <formula>AA54&gt;$AG54</formula>
    </cfRule>
  </conditionalFormatting>
  <conditionalFormatting sqref="AB8">
    <cfRule type="expression" dxfId="895" priority="240">
      <formula>AD$9&gt;=20/24</formula>
    </cfRule>
    <cfRule type="expression" dxfId="894" priority="241">
      <formula>AND(AD$9&gt;=14/24,AD$9&lt;20/24)</formula>
    </cfRule>
    <cfRule type="expression" dxfId="893" priority="242">
      <formula>AND(AD$9&gt;=8/24,AD$9&lt;14/24)</formula>
    </cfRule>
    <cfRule type="expression" dxfId="892" priority="243">
      <formula>AD$9&lt;8/24</formula>
    </cfRule>
  </conditionalFormatting>
  <conditionalFormatting sqref="AG78">
    <cfRule type="expression" dxfId="886" priority="219">
      <formula>AG$9&gt;=20/24</formula>
    </cfRule>
    <cfRule type="expression" dxfId="885" priority="220">
      <formula>AND(AG$9&gt;=14/24,AG$9&lt;20/24)</formula>
    </cfRule>
    <cfRule type="expression" dxfId="884" priority="221">
      <formula>AND(AG$9&gt;=8/24,AG$9&lt;14/24)</formula>
    </cfRule>
    <cfRule type="expression" dxfId="883" priority="222">
      <formula>AG$9&lt;8/24</formula>
    </cfRule>
  </conditionalFormatting>
  <conditionalFormatting sqref="AG91:AG92">
    <cfRule type="expression" dxfId="882" priority="214">
      <formula>AG91&gt;$AG91</formula>
    </cfRule>
  </conditionalFormatting>
  <conditionalFormatting sqref="AG96">
    <cfRule type="expression" dxfId="881" priority="215">
      <formula>AG$9&gt;=20/24</formula>
    </cfRule>
    <cfRule type="expression" dxfId="880" priority="216">
      <formula>AND(AG$9&gt;=14/24,AG$9&lt;20/24)</formula>
    </cfRule>
    <cfRule type="expression" dxfId="879" priority="217">
      <formula>AND(AG$9&gt;=8/24,AG$9&lt;14/24)</formula>
    </cfRule>
    <cfRule type="expression" dxfId="878" priority="218">
      <formula>AG$9&lt;8/24</formula>
    </cfRule>
  </conditionalFormatting>
  <conditionalFormatting sqref="AG113">
    <cfRule type="expression" dxfId="877" priority="236">
      <formula>AG$9&gt;=20/24</formula>
    </cfRule>
    <cfRule type="expression" dxfId="876" priority="237">
      <formula>AND(AG$9&gt;=14/24,AG$9&lt;20/24)</formula>
    </cfRule>
    <cfRule type="expression" dxfId="875" priority="238">
      <formula>AND(AG$9&gt;=8/24,AG$9&lt;14/24)</formula>
    </cfRule>
    <cfRule type="expression" dxfId="874" priority="239">
      <formula>AG$9&lt;8/24</formula>
    </cfRule>
  </conditionalFormatting>
  <conditionalFormatting sqref="AH8:AI10">
    <cfRule type="expression" dxfId="873" priority="127">
      <formula>AH$9&gt;=20/24</formula>
    </cfRule>
    <cfRule type="expression" dxfId="872" priority="128">
      <formula>AND(AH$9&gt;=14/24,AH$9&lt;20/24)</formula>
    </cfRule>
    <cfRule type="expression" dxfId="871" priority="129">
      <formula>AND(AH$9&gt;=8/24,AH$9&lt;14/24)</formula>
    </cfRule>
    <cfRule type="expression" dxfId="870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9" priority="257">
      <formula>AJ$9&gt;=20/24</formula>
    </cfRule>
    <cfRule type="expression" dxfId="868" priority="258">
      <formula>AND(AJ$9&gt;=14/24,AJ$9&lt;20/24)</formula>
    </cfRule>
    <cfRule type="expression" dxfId="867" priority="259">
      <formula>AND(AJ$9&gt;=8/24,AJ$9&lt;14/24)</formula>
    </cfRule>
    <cfRule type="expression" dxfId="866" priority="260">
      <formula>AJ$9&lt;8/24</formula>
    </cfRule>
  </conditionalFormatting>
  <conditionalFormatting sqref="AL99:AN99 AL105:AN105">
    <cfRule type="expression" dxfId="865" priority="229">
      <formula>AL$9&gt;=20/24</formula>
    </cfRule>
    <cfRule type="expression" dxfId="864" priority="230">
      <formula>AND(AL$9&gt;=14/24,AL$9&lt;20/24)</formula>
    </cfRule>
    <cfRule type="expression" dxfId="863" priority="231">
      <formula>AND(AL$9&gt;=8/24,AL$9&lt;14/24)</formula>
    </cfRule>
    <cfRule type="expression" dxfId="862" priority="232">
      <formula>AL$9&lt;8/24</formula>
    </cfRule>
  </conditionalFormatting>
  <conditionalFormatting sqref="AM15:AM21 AN16:AR21">
    <cfRule type="expression" dxfId="861" priority="153">
      <formula>AX$9&gt;=20/24</formula>
    </cfRule>
    <cfRule type="expression" dxfId="860" priority="154">
      <formula>AND(AX$9&gt;=14/24,AX$9&lt;20/24)</formula>
    </cfRule>
    <cfRule type="expression" dxfId="859" priority="155">
      <formula>AND(AX$9&gt;=8/24,AX$9&lt;14/24)</formula>
    </cfRule>
    <cfRule type="expression" dxfId="858" priority="156">
      <formula>AX$9&lt;8/24</formula>
    </cfRule>
  </conditionalFormatting>
  <conditionalFormatting sqref="AN100:AN103">
    <cfRule type="expression" dxfId="857" priority="225">
      <formula>AN$9&gt;=20/24</formula>
    </cfRule>
    <cfRule type="expression" dxfId="856" priority="226">
      <formula>AND(AN$9&gt;=14/24,AN$9&lt;20/24)</formula>
    </cfRule>
    <cfRule type="expression" dxfId="855" priority="227">
      <formula>AND(AN$9&gt;=8/24,AN$9&lt;14/24)</formula>
    </cfRule>
    <cfRule type="expression" dxfId="854" priority="228">
      <formula>AN$9&lt;8/24</formula>
    </cfRule>
  </conditionalFormatting>
  <conditionalFormatting sqref="AN15:AR15">
    <cfRule type="expression" dxfId="853" priority="141">
      <formula>U$9&gt;=20/24</formula>
    </cfRule>
    <cfRule type="expression" dxfId="852" priority="142">
      <formula>AND(U$9&gt;=14/24,U$9&lt;20/24)</formula>
    </cfRule>
    <cfRule type="expression" dxfId="851" priority="143">
      <formula>AND(U$9&gt;=8/24,U$9&lt;14/24)</formula>
    </cfRule>
    <cfRule type="expression" dxfId="850" priority="144">
      <formula>U$9&lt;8/24</formula>
    </cfRule>
  </conditionalFormatting>
  <conditionalFormatting sqref="AS15">
    <cfRule type="expression" dxfId="849" priority="149">
      <formula>AA$9&gt;=20/24</formula>
    </cfRule>
    <cfRule type="expression" dxfId="848" priority="150">
      <formula>AND(AA$9&gt;=14/24,AA$9&lt;20/24)</formula>
    </cfRule>
    <cfRule type="expression" dxfId="847" priority="151">
      <formula>AND(AA$9&gt;=8/24,AA$9&lt;14/24)</formula>
    </cfRule>
    <cfRule type="expression" dxfId="846" priority="152">
      <formula>AA$9&lt;8/24</formula>
    </cfRule>
  </conditionalFormatting>
  <conditionalFormatting sqref="AS16:AS21">
    <cfRule type="expression" dxfId="845" priority="157">
      <formula>BE$9&gt;=20/24</formula>
    </cfRule>
    <cfRule type="expression" dxfId="844" priority="158">
      <formula>AND(BE$9&gt;=14/24,BE$9&lt;20/24)</formula>
    </cfRule>
    <cfRule type="expression" dxfId="843" priority="159">
      <formula>AND(BE$9&gt;=8/24,BE$9&lt;14/24)</formula>
    </cfRule>
    <cfRule type="expression" dxfId="842" priority="160">
      <formula>BE$9&lt;8/24</formula>
    </cfRule>
  </conditionalFormatting>
  <conditionalFormatting sqref="AT15 AX15:BJ15">
    <cfRule type="expression" dxfId="841" priority="161">
      <formula>AC$9&gt;=20/24</formula>
    </cfRule>
    <cfRule type="expression" dxfId="840" priority="162">
      <formula>AND(AC$9&gt;=14/24,AC$9&lt;20/24)</formula>
    </cfRule>
    <cfRule type="expression" dxfId="839" priority="163">
      <formula>AND(AC$9&gt;=8/24,AC$9&lt;14/24)</formula>
    </cfRule>
    <cfRule type="expression" dxfId="838" priority="164">
      <formula>AC$9&lt;8/24</formula>
    </cfRule>
  </conditionalFormatting>
  <conditionalFormatting sqref="AT16:AT21">
    <cfRule type="expression" dxfId="837" priority="165">
      <formula>BG$9&gt;=20/24</formula>
    </cfRule>
    <cfRule type="expression" dxfId="836" priority="166">
      <formula>AND(BG$9&gt;=14/24,BG$9&lt;20/24)</formula>
    </cfRule>
    <cfRule type="expression" dxfId="835" priority="167">
      <formula>AND(BG$9&gt;=8/24,BG$9&lt;14/24)</formula>
    </cfRule>
    <cfRule type="expression" dxfId="834" priority="168">
      <formula>BG$9&lt;8/24</formula>
    </cfRule>
  </conditionalFormatting>
  <conditionalFormatting sqref="AU15:AV15">
    <cfRule type="expression" dxfId="833" priority="169">
      <formula>AE$9&gt;=20/24</formula>
    </cfRule>
    <cfRule type="expression" dxfId="832" priority="170">
      <formula>AND(AE$9&gt;=14/24,AE$9&lt;20/24)</formula>
    </cfRule>
    <cfRule type="expression" dxfId="831" priority="171">
      <formula>AND(AE$9&gt;=8/24,AE$9&lt;14/24)</formula>
    </cfRule>
    <cfRule type="expression" dxfId="830" priority="172">
      <formula>AE$9&lt;8/24</formula>
    </cfRule>
  </conditionalFormatting>
  <conditionalFormatting sqref="AU16:BJ21">
    <cfRule type="expression" dxfId="829" priority="173">
      <formula>BI$9&gt;=20/24</formula>
    </cfRule>
    <cfRule type="expression" dxfId="828" priority="174">
      <formula>AND(BI$9&gt;=14/24,BI$9&lt;20/24)</formula>
    </cfRule>
    <cfRule type="expression" dxfId="827" priority="175">
      <formula>AND(BI$9&gt;=8/24,BI$9&lt;14/24)</formula>
    </cfRule>
    <cfRule type="expression" dxfId="826" priority="176">
      <formula>BI$9&lt;8/24</formula>
    </cfRule>
  </conditionalFormatting>
  <conditionalFormatting sqref="AW15">
    <cfRule type="expression" dxfId="825" priority="145">
      <formula>B$9&gt;=20/24</formula>
    </cfRule>
    <cfRule type="expression" dxfId="824" priority="146">
      <formula>AND(B$9&gt;=14/24,B$9&lt;20/24)</formula>
    </cfRule>
    <cfRule type="expression" dxfId="823" priority="147">
      <formula>AND(B$9&gt;=8/24,B$9&lt;14/24)</formula>
    </cfRule>
    <cfRule type="expression" dxfId="822" priority="148">
      <formula>B$9&lt;8/24</formula>
    </cfRule>
  </conditionalFormatting>
  <conditionalFormatting sqref="A73">
    <cfRule type="expression" dxfId="821" priority="96">
      <formula>$AH73=0</formula>
    </cfRule>
  </conditionalFormatting>
  <conditionalFormatting sqref="B97:B107 B152 B109:B112 B125 B154:B159 B134">
    <cfRule type="expression" dxfId="820" priority="92">
      <formula>B$9&gt;=20/24</formula>
    </cfRule>
  </conditionalFormatting>
  <conditionalFormatting sqref="B97:B107 B152 B109:B112 B125 B154:B159 B134">
    <cfRule type="expression" dxfId="819" priority="93">
      <formula>AND(B$9&gt;=14/24,B$9&lt;20/24)</formula>
    </cfRule>
    <cfRule type="expression" dxfId="818" priority="94">
      <formula>AND(B$9&gt;=8/24,B$9&lt;14/24)</formula>
    </cfRule>
    <cfRule type="expression" dxfId="817" priority="95">
      <formula>B$9&lt;8/24</formula>
    </cfRule>
  </conditionalFormatting>
  <conditionalFormatting sqref="B161:B167">
    <cfRule type="expression" dxfId="816" priority="87">
      <formula>B$9&gt;=20/24</formula>
    </cfRule>
    <cfRule type="expression" dxfId="815" priority="88">
      <formula>AND(B$9&gt;=14/24,B$9&lt;20/24)</formula>
    </cfRule>
    <cfRule type="expression" dxfId="814" priority="89">
      <formula>AND(B$9&gt;=8/24,B$9&lt;14/24)</formula>
    </cfRule>
    <cfRule type="expression" dxfId="813" priority="90">
      <formula>B$9&lt;8/24</formula>
    </cfRule>
  </conditionalFormatting>
  <conditionalFormatting sqref="B169:B274">
    <cfRule type="expression" dxfId="812" priority="78">
      <formula>B$9&gt;=20/24</formula>
    </cfRule>
    <cfRule type="expression" dxfId="811" priority="79">
      <formula>AND(B$9&gt;=14/24,B$9&lt;20/24)</formula>
    </cfRule>
    <cfRule type="expression" dxfId="810" priority="80">
      <formula>AND(B$9&gt;=8/24,B$9&lt;14/24)</formula>
    </cfRule>
    <cfRule type="expression" dxfId="809" priority="81">
      <formula>B$9&lt;8/24</formula>
    </cfRule>
  </conditionalFormatting>
  <conditionalFormatting sqref="A153">
    <cfRule type="expression" dxfId="808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73">
      <formula>AL$9&gt;=20/24</formula>
    </cfRule>
  </conditionalFormatting>
  <conditionalFormatting sqref="AL153">
    <cfRule type="expression" dxfId="806" priority="74">
      <formula>AND(AL$9&gt;=14/24,AL$9&lt;20/24)</formula>
    </cfRule>
    <cfRule type="expression" dxfId="805" priority="75">
      <formula>AND(AL$9&gt;=8/24,AL$9&lt;14/24)</formula>
    </cfRule>
    <cfRule type="expression" dxfId="804" priority="76">
      <formula>AL$9&lt;8/24</formula>
    </cfRule>
  </conditionalFormatting>
  <conditionalFormatting sqref="B11:Z13">
    <cfRule type="expression" dxfId="803" priority="69">
      <formula>B$9&gt;=20/24</formula>
    </cfRule>
  </conditionalFormatting>
  <conditionalFormatting sqref="B11:Z13">
    <cfRule type="expression" dxfId="802" priority="70">
      <formula>AND(B$9&gt;=14/24,B$9&lt;20/24)</formula>
    </cfRule>
    <cfRule type="expression" dxfId="801" priority="71">
      <formula>AND(B$9&gt;=8/24,B$9&lt;14/24)</formula>
    </cfRule>
    <cfRule type="expression" dxfId="800" priority="72">
      <formula>B$9&lt;8/24</formula>
    </cfRule>
  </conditionalFormatting>
  <conditionalFormatting sqref="B14:Z16">
    <cfRule type="expression" dxfId="799" priority="63">
      <formula>B14&gt;$AG14*1</formula>
    </cfRule>
    <cfRule type="expression" dxfId="798" priority="64">
      <formula>B$9&gt;=20/24</formula>
    </cfRule>
    <cfRule type="expression" dxfId="797" priority="65">
      <formula>AND(B$9&gt;=14/24,B$9&lt;20/24)</formula>
    </cfRule>
    <cfRule type="expression" dxfId="796" priority="66">
      <formula>AND(B$9&gt;=8/24,B$9&lt;14/24)</formula>
    </cfRule>
    <cfRule type="expression" dxfId="795" priority="67">
      <formula>B$9&lt;8/24</formula>
    </cfRule>
  </conditionalFormatting>
  <conditionalFormatting sqref="B11:Z13">
    <cfRule type="expression" dxfId="794" priority="68">
      <formula>B11&gt;$AG11*1</formula>
    </cfRule>
  </conditionalFormatting>
  <conditionalFormatting sqref="B17:Z53">
    <cfRule type="expression" dxfId="793" priority="55">
      <formula>B17&gt;$AG17*1</formula>
    </cfRule>
    <cfRule type="expression" dxfId="792" priority="56">
      <formula>B$9&gt;=20/24</formula>
    </cfRule>
    <cfRule type="expression" dxfId="791" priority="57">
      <formula>AND(B$9&gt;=14/24,B$9&lt;20/24)</formula>
    </cfRule>
    <cfRule type="expression" dxfId="790" priority="58">
      <formula>AND(B$9&gt;=8/24,B$9&lt;14/24)</formula>
    </cfRule>
    <cfRule type="expression" dxfId="789" priority="59">
      <formula>B$9&lt;8/24</formula>
    </cfRule>
  </conditionalFormatting>
  <conditionalFormatting sqref="B54:Z55">
    <cfRule type="expression" dxfId="788" priority="54">
      <formula>B$9&lt;8/24</formula>
    </cfRule>
  </conditionalFormatting>
  <conditionalFormatting sqref="B54:Z55 B69:Z70">
    <cfRule type="expression" dxfId="787" priority="51">
      <formula>B$9&gt;=20/24</formula>
    </cfRule>
    <cfRule type="expression" dxfId="786" priority="52">
      <formula>AND(B$9&gt;=14/24,B$9&lt;20/24)</formula>
    </cfRule>
    <cfRule type="expression" dxfId="785" priority="53">
      <formula>AND(B$9&gt;=8/24,B$9&lt;14/24)</formula>
    </cfRule>
  </conditionalFormatting>
  <conditionalFormatting sqref="B69:Z70">
    <cfRule type="expression" dxfId="784" priority="61">
      <formula>B$9&lt;8/24</formula>
    </cfRule>
  </conditionalFormatting>
  <conditionalFormatting sqref="B69:Z69">
    <cfRule type="expression" dxfId="783" priority="60">
      <formula>B69&gt;$AG69*1</formula>
    </cfRule>
  </conditionalFormatting>
  <conditionalFormatting sqref="B54:Z55 B69:Z70">
    <cfRule type="expression" dxfId="782" priority="62">
      <formula>B54&gt;$AG54</formula>
    </cfRule>
  </conditionalFormatting>
  <conditionalFormatting sqref="B56:Z68">
    <cfRule type="expression" dxfId="781" priority="48">
      <formula>B$9&lt;8/24</formula>
    </cfRule>
  </conditionalFormatting>
  <conditionalFormatting sqref="B56:Z68">
    <cfRule type="expression" dxfId="780" priority="45">
      <formula>B$9&gt;=20/24</formula>
    </cfRule>
    <cfRule type="expression" dxfId="779" priority="46">
      <formula>AND(B$9&gt;=14/24,B$9&lt;20/24)</formula>
    </cfRule>
    <cfRule type="expression" dxfId="778" priority="47">
      <formula>AND(B$9&gt;=8/24,B$9&lt;14/24)</formula>
    </cfRule>
  </conditionalFormatting>
  <conditionalFormatting sqref="B63:Z65">
    <cfRule type="expression" dxfId="777" priority="49">
      <formula>B63&gt;$AG63</formula>
    </cfRule>
  </conditionalFormatting>
  <conditionalFormatting sqref="B56:Z62 B66:Z68">
    <cfRule type="expression" dxfId="776" priority="50">
      <formula>B56&gt;$AG56</formula>
    </cfRule>
  </conditionalFormatting>
  <conditionalFormatting sqref="B76:Z77">
    <cfRule type="expression" dxfId="775" priority="37">
      <formula>B$9&gt;=20/24</formula>
    </cfRule>
  </conditionalFormatting>
  <conditionalFormatting sqref="B76:Z77">
    <cfRule type="expression" dxfId="774" priority="38">
      <formula>AND(B$9&gt;=14/24,B$9&lt;20/24)</formula>
    </cfRule>
    <cfRule type="expression" dxfId="773" priority="39">
      <formula>AND(B$9&gt;=8/24,B$9&lt;14/24)</formula>
    </cfRule>
    <cfRule type="expression" dxfId="772" priority="40">
      <formula>B$9&lt;8/24</formula>
    </cfRule>
  </conditionalFormatting>
  <conditionalFormatting sqref="B72:Z75">
    <cfRule type="expression" dxfId="771" priority="31">
      <formula>B72&gt;$AG72*1</formula>
    </cfRule>
  </conditionalFormatting>
  <conditionalFormatting sqref="B73:Z75">
    <cfRule type="expression" dxfId="770" priority="32">
      <formula>B$9&gt;=20/24</formula>
    </cfRule>
    <cfRule type="expression" dxfId="769" priority="33">
      <formula>AND(B$9&gt;=14/24,B$9&lt;20/24)</formula>
    </cfRule>
    <cfRule type="expression" dxfId="768" priority="34">
      <formula>AND(B$9&gt;=8/24,B$9&lt;14/24)</formula>
    </cfRule>
    <cfRule type="expression" dxfId="767" priority="35">
      <formula>B$9&lt;8/24</formula>
    </cfRule>
  </conditionalFormatting>
  <conditionalFormatting sqref="B76:Z77">
    <cfRule type="expression" dxfId="766" priority="36">
      <formula>B76&gt;$AG76*1</formula>
    </cfRule>
  </conditionalFormatting>
  <conditionalFormatting sqref="B72:Z72">
    <cfRule type="expression" dxfId="765" priority="41">
      <formula>B$9&gt;=20/24</formula>
    </cfRule>
    <cfRule type="expression" dxfId="764" priority="42">
      <formula>AND(B$9&gt;=14/24,B$9&lt;20/24)</formula>
    </cfRule>
    <cfRule type="expression" dxfId="763" priority="43">
      <formula>AND(B$9&gt;=8/24,B$9&lt;14/24)</formula>
    </cfRule>
    <cfRule type="expression" dxfId="762" priority="44">
      <formula>B$9&lt;8/24</formula>
    </cfRule>
  </conditionalFormatting>
  <conditionalFormatting sqref="B85:Z90">
    <cfRule type="expression" dxfId="761" priority="19">
      <formula>B$9&gt;=20/24</formula>
    </cfRule>
  </conditionalFormatting>
  <conditionalFormatting sqref="B85:Z90">
    <cfRule type="expression" dxfId="760" priority="20">
      <formula>AND(B$9&gt;=14/24,B$9&lt;20/24)</formula>
    </cfRule>
    <cfRule type="expression" dxfId="759" priority="21">
      <formula>AND(B$9&gt;=8/24,B$9&lt;14/24)</formula>
    </cfRule>
    <cfRule type="expression" dxfId="758" priority="22">
      <formula>B$9&lt;8/24</formula>
    </cfRule>
  </conditionalFormatting>
  <conditionalFormatting sqref="B79:Z90">
    <cfRule type="expression" dxfId="757" priority="18">
      <formula>B79&gt;$AG79*1</formula>
    </cfRule>
  </conditionalFormatting>
  <conditionalFormatting sqref="B84:Z84">
    <cfRule type="expression" dxfId="756" priority="23">
      <formula>B$9&gt;=20/24</formula>
    </cfRule>
    <cfRule type="expression" dxfId="755" priority="24">
      <formula>AND(B$9&gt;=14/24,B$9&lt;20/24)</formula>
    </cfRule>
    <cfRule type="expression" dxfId="754" priority="25">
      <formula>AND(B$9&gt;=8/24,B$9&lt;14/24)</formula>
    </cfRule>
    <cfRule type="expression" dxfId="753" priority="26">
      <formula>B$9&lt;8/24</formula>
    </cfRule>
  </conditionalFormatting>
  <conditionalFormatting sqref="B80:Z83">
    <cfRule type="expression" dxfId="752" priority="27">
      <formula>B$9&gt;=20/24</formula>
    </cfRule>
    <cfRule type="expression" dxfId="751" priority="28">
      <formula>AND(B$9&gt;=14/24,B$9&lt;20/24)</formula>
    </cfRule>
    <cfRule type="expression" dxfId="750" priority="29">
      <formula>AND(B$9&gt;=8/24,B$9&lt;14/24)</formula>
    </cfRule>
    <cfRule type="expression" dxfId="749" priority="30">
      <formula>B$9&lt;8/24</formula>
    </cfRule>
  </conditionalFormatting>
  <conditionalFormatting sqref="B79:Z84">
    <cfRule type="expression" dxfId="748" priority="14">
      <formula>B$9&gt;=20/24</formula>
    </cfRule>
    <cfRule type="expression" dxfId="747" priority="15">
      <formula>AND(B$9&gt;=14/24,B$9&lt;20/24)</formula>
    </cfRule>
    <cfRule type="expression" dxfId="746" priority="16">
      <formula>AND(B$9&gt;=8/24,B$9&lt;14/24)</formula>
    </cfRule>
    <cfRule type="expression" dxfId="745" priority="17">
      <formula>B$9&lt;8/24</formula>
    </cfRule>
  </conditionalFormatting>
  <conditionalFormatting sqref="B93:D95">
    <cfRule type="expression" dxfId="744" priority="10">
      <formula>B$9&gt;=20/24</formula>
    </cfRule>
  </conditionalFormatting>
  <conditionalFormatting sqref="B93:D95">
    <cfRule type="expression" dxfId="743" priority="11">
      <formula>AND(B$9&gt;=14/24,B$9&lt;20/24)</formula>
    </cfRule>
    <cfRule type="expression" dxfId="742" priority="12">
      <formula>AND(B$9&gt;=8/24,B$9&lt;14/24)</formula>
    </cfRule>
    <cfRule type="expression" dxfId="741" priority="13">
      <formula>B$9&lt;8/24</formula>
    </cfRule>
  </conditionalFormatting>
  <conditionalFormatting sqref="B93:D95">
    <cfRule type="expression" dxfId="740" priority="9">
      <formula>B93&gt;$AG93*1</formula>
    </cfRule>
  </conditionalFormatting>
  <conditionalFormatting sqref="B126:C133">
    <cfRule type="expression" dxfId="739" priority="5">
      <formula>B$9&gt;=20/24</formula>
    </cfRule>
  </conditionalFormatting>
  <conditionalFormatting sqref="B126:C133">
    <cfRule type="expression" dxfId="738" priority="6">
      <formula>AND(B$9&gt;=14/24,B$9&lt;20/24)</formula>
    </cfRule>
    <cfRule type="expression" dxfId="737" priority="7">
      <formula>AND(B$9&gt;=8/24,B$9&lt;14/24)</formula>
    </cfRule>
    <cfRule type="expression" dxfId="736" priority="8">
      <formula>B$9&lt;8/24</formula>
    </cfRule>
  </conditionalFormatting>
  <conditionalFormatting sqref="B137:C151">
    <cfRule type="expression" dxfId="735" priority="1">
      <formula>B$9&gt;=20/24</formula>
    </cfRule>
  </conditionalFormatting>
  <conditionalFormatting sqref="B137:C151">
    <cfRule type="expression" dxfId="734" priority="2">
      <formula>AND(B$9&gt;=14/24,B$9&lt;20/24)</formula>
    </cfRule>
    <cfRule type="expression" dxfId="733" priority="3">
      <formula>AND(B$9&gt;=8/24,B$9&lt;14/24)</formula>
    </cfRule>
    <cfRule type="expression" dxfId="732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31" priority="25">
      <formula>$AH11=0</formula>
    </cfRule>
  </conditionalFormatting>
  <conditionalFormatting sqref="A101:A102">
    <cfRule type="expression" dxfId="730" priority="193">
      <formula>$AH106=0</formula>
    </cfRule>
  </conditionalFormatting>
  <conditionalFormatting sqref="A103:A107">
    <cfRule type="expression" dxfId="729" priority="141">
      <formula>$AH102=0</formula>
    </cfRule>
  </conditionalFormatting>
  <conditionalFormatting sqref="A160:A167">
    <cfRule type="expression" dxfId="728" priority="194">
      <formula>$AH267=0</formula>
    </cfRule>
  </conditionalFormatting>
  <conditionalFormatting sqref="A168:A275">
    <cfRule type="expression" dxfId="727" priority="64">
      <formula>$AH168=0</formula>
    </cfRule>
  </conditionalFormatting>
  <conditionalFormatting sqref="B8">
    <cfRule type="expression" dxfId="726" priority="189">
      <formula>AND(C$9&gt;=14/24,C$9&lt;20/24)</formula>
    </cfRule>
    <cfRule type="expression" dxfId="725" priority="190">
      <formula>AND(C$9&gt;=8/24,C$9&lt;14/24)</formula>
    </cfRule>
    <cfRule type="expression" dxfId="724" priority="191">
      <formula>C$9&lt;8/24</formula>
    </cfRule>
    <cfRule type="expression" dxfId="723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22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21" priority="107">
      <formula>AND(B$9&gt;=14/24,B$9&lt;20/24)</formula>
    </cfRule>
    <cfRule type="expression" dxfId="720" priority="108">
      <formula>AND(B$9&gt;=8/24,B$9&lt;14/24)</formula>
    </cfRule>
    <cfRule type="expression" dxfId="719" priority="109">
      <formula>B$9&lt;8/24</formula>
    </cfRule>
  </conditionalFormatting>
  <conditionalFormatting sqref="B29:Y53 Z14:AF53">
    <cfRule type="expression" dxfId="718" priority="49">
      <formula>B14&gt;$AG14*1</formula>
    </cfRule>
    <cfRule type="expression" dxfId="717" priority="50">
      <formula>B$9&gt;=20/24</formula>
    </cfRule>
    <cfRule type="expression" dxfId="716" priority="51">
      <formula>AND(B$9&gt;=14/24,B$9&lt;20/24)</formula>
    </cfRule>
    <cfRule type="expression" dxfId="715" priority="52">
      <formula>AND(B$9&gt;=8/24,B$9&lt;14/24)</formula>
    </cfRule>
    <cfRule type="expression" dxfId="714" priority="53">
      <formula>B$9&lt;8/24</formula>
    </cfRule>
  </conditionalFormatting>
  <conditionalFormatting sqref="B54:AF68">
    <cfRule type="expression" dxfId="713" priority="42">
      <formula>B$9&lt;8/24</formula>
    </cfRule>
  </conditionalFormatting>
  <conditionalFormatting sqref="B54:AF70">
    <cfRule type="expression" dxfId="712" priority="39">
      <formula>B$9&gt;=20/24</formula>
    </cfRule>
    <cfRule type="expression" dxfId="711" priority="40">
      <formula>AND(B$9&gt;=14/24,B$9&lt;20/24)</formula>
    </cfRule>
    <cfRule type="expression" dxfId="710" priority="41">
      <formula>AND(B$9&gt;=8/24,B$9&lt;14/24)</formula>
    </cfRule>
  </conditionalFormatting>
  <conditionalFormatting sqref="B63:AF65">
    <cfRule type="expression" dxfId="709" priority="43">
      <formula>B63&gt;$AG63</formula>
    </cfRule>
  </conditionalFormatting>
  <conditionalFormatting sqref="B69:AF70">
    <cfRule type="expression" dxfId="708" priority="114">
      <formula>B$9&lt;8/24</formula>
    </cfRule>
  </conditionalFormatting>
  <conditionalFormatting sqref="B72:AF75">
    <cfRule type="expression" dxfId="707" priority="30">
      <formula>B72&gt;$AG72*1</formula>
    </cfRule>
  </conditionalFormatting>
  <conditionalFormatting sqref="B73:AF75">
    <cfRule type="expression" dxfId="706" priority="31">
      <formula>B$9&gt;=20/24</formula>
    </cfRule>
    <cfRule type="expression" dxfId="705" priority="32">
      <formula>AND(B$9&gt;=14/24,B$9&lt;20/24)</formula>
    </cfRule>
    <cfRule type="expression" dxfId="704" priority="33">
      <formula>AND(B$9&gt;=8/24,B$9&lt;14/24)</formula>
    </cfRule>
    <cfRule type="expression" dxfId="703" priority="34">
      <formula>B$9&lt;8/24</formula>
    </cfRule>
  </conditionalFormatting>
  <conditionalFormatting sqref="C161:AF167">
    <cfRule type="expression" dxfId="702" priority="65">
      <formula>C$9&gt;=20/24</formula>
    </cfRule>
    <cfRule type="expression" dxfId="701" priority="66">
      <formula>AND(C$9&gt;=14/24,C$9&lt;20/24)</formula>
    </cfRule>
    <cfRule type="expression" dxfId="700" priority="67">
      <formula>AND(C$9&gt;=8/24,C$9&lt;14/24)</formula>
    </cfRule>
    <cfRule type="expression" dxfId="699" priority="68">
      <formula>C$9&lt;8/24</formula>
    </cfRule>
  </conditionalFormatting>
  <conditionalFormatting sqref="C169:AF274">
    <cfRule type="expression" dxfId="698" priority="26">
      <formula>C$9&gt;=20/24</formula>
    </cfRule>
    <cfRule type="expression" dxfId="697" priority="27">
      <formula>AND(C$9&gt;=14/24,C$9&lt;20/24)</formula>
    </cfRule>
    <cfRule type="expression" dxfId="696" priority="28">
      <formula>AND(C$9&gt;=8/24,C$9&lt;14/24)</formula>
    </cfRule>
    <cfRule type="expression" dxfId="695" priority="29">
      <formula>C$9&lt;8/24</formula>
    </cfRule>
  </conditionalFormatting>
  <conditionalFormatting sqref="AA70 AG96 B71:AA71 B69:AA69 AG78 AG71 AB69:AF71 B76:AF96 Z11:AF13">
    <cfRule type="expression" dxfId="694" priority="105">
      <formula>B11&gt;$AG11*1</formula>
    </cfRule>
  </conditionalFormatting>
  <conditionalFormatting sqref="F79:Y83">
    <cfRule type="expression" dxfId="693" priority="115">
      <formula>F$9&gt;=20/24</formula>
    </cfRule>
    <cfRule type="expression" dxfId="692" priority="116">
      <formula>AND(F$9&gt;=14/24,F$9&lt;20/24)</formula>
    </cfRule>
    <cfRule type="expression" dxfId="691" priority="117">
      <formula>AND(F$9&gt;=8/24,F$9&lt;14/24)</formula>
    </cfRule>
    <cfRule type="expression" dxfId="690" priority="118">
      <formula>F$9&lt;8/24</formula>
    </cfRule>
  </conditionalFormatting>
  <conditionalFormatting sqref="F84:Y84">
    <cfRule type="expression" dxfId="689" priority="110">
      <formula>F$9&gt;=20/24</formula>
    </cfRule>
    <cfRule type="expression" dxfId="688" priority="111">
      <formula>AND(F$9&gt;=14/24,F$9&lt;20/24)</formula>
    </cfRule>
    <cfRule type="expression" dxfId="687" priority="112">
      <formula>AND(F$9&gt;=8/24,F$9&lt;14/24)</formula>
    </cfRule>
    <cfRule type="expression" dxfId="686" priority="113">
      <formula>F$9&lt;8/24</formula>
    </cfRule>
  </conditionalFormatting>
  <conditionalFormatting sqref="F78:AC78 Z76:AC77 B72:AF72 AD76:AF78">
    <cfRule type="expression" dxfId="685" priority="125">
      <formula>B$9&gt;=20/24</formula>
    </cfRule>
    <cfRule type="expression" dxfId="684" priority="126">
      <formula>AND(B$9&gt;=14/24,B$9&lt;20/24)</formula>
    </cfRule>
    <cfRule type="expression" dxfId="683" priority="127">
      <formula>AND(B$9&gt;=8/24,B$9&lt;14/24)</formula>
    </cfRule>
    <cfRule type="expression" dxfId="682" priority="128">
      <formula>B$9&lt;8/24</formula>
    </cfRule>
  </conditionalFormatting>
  <conditionalFormatting sqref="Z73:AF75">
    <cfRule type="expression" dxfId="681" priority="35">
      <formula>Z$9&gt;=20/24</formula>
    </cfRule>
    <cfRule type="expression" dxfId="680" priority="36">
      <formula>AND(Z$9&gt;=14/24,Z$9&lt;20/24)</formula>
    </cfRule>
    <cfRule type="expression" dxfId="679" priority="37">
      <formula>AND(Z$9&gt;=8/24,Z$9&lt;14/24)</formula>
    </cfRule>
    <cfRule type="expression" dxfId="678" priority="38">
      <formula>Z$9&lt;8/24</formula>
    </cfRule>
  </conditionalFormatting>
  <conditionalFormatting sqref="F79:Y81">
    <cfRule type="expression" dxfId="677" priority="133">
      <formula>F$9&gt;=20/24</formula>
    </cfRule>
    <cfRule type="expression" dxfId="676" priority="134">
      <formula>AND(F$9&gt;=14/24,F$9&lt;20/24)</formula>
    </cfRule>
    <cfRule type="expression" dxfId="675" priority="135">
      <formula>AND(F$9&gt;=8/24,F$9&lt;14/24)</formula>
    </cfRule>
    <cfRule type="expression" dxfId="674" priority="136">
      <formula>F$9&lt;8/24</formula>
    </cfRule>
  </conditionalFormatting>
  <conditionalFormatting sqref="L84:AF84">
    <cfRule type="expression" dxfId="673" priority="129">
      <formula>L$9&gt;=20/24</formula>
    </cfRule>
    <cfRule type="expression" dxfId="672" priority="130">
      <formula>AND(L$9&gt;=14/24,L$9&lt;20/24)</formula>
    </cfRule>
    <cfRule type="expression" dxfId="671" priority="131">
      <formula>AND(L$9&gt;=8/24,L$9&lt;14/24)</formula>
    </cfRule>
    <cfRule type="expression" dxfId="670" priority="132">
      <formula>L$9&lt;8/24</formula>
    </cfRule>
  </conditionalFormatting>
  <conditionalFormatting sqref="M8 S8 AB8">
    <cfRule type="expression" dxfId="669" priority="182">
      <formula>AND(N$9&gt;=14/24,N$9&lt;20/24)</formula>
    </cfRule>
    <cfRule type="expression" dxfId="668" priority="183">
      <formula>AND(N$9&gt;=8/24,N$9&lt;14/24)</formula>
    </cfRule>
    <cfRule type="expression" dxfId="667" priority="184">
      <formula>N$9&lt;8/24</formula>
    </cfRule>
  </conditionalFormatting>
  <conditionalFormatting sqref="R79:Y83 Z80:AF83">
    <cfRule type="expression" dxfId="666" priority="137">
      <formula>R$9&gt;=20/24</formula>
    </cfRule>
    <cfRule type="expression" dxfId="665" priority="138">
      <formula>AND(R$9&gt;=14/24,R$9&lt;20/24)</formula>
    </cfRule>
    <cfRule type="expression" dxfId="664" priority="139">
      <formula>AND(R$9&gt;=8/24,R$9&lt;14/24)</formula>
    </cfRule>
    <cfRule type="expression" dxfId="663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62" priority="181">
      <formula>N$9&gt;=20/24</formula>
    </cfRule>
  </conditionalFormatting>
  <conditionalFormatting sqref="S8">
    <cfRule type="expression" dxfId="661" priority="172">
      <formula>U$9&gt;=20/24</formula>
    </cfRule>
    <cfRule type="expression" dxfId="660" priority="173">
      <formula>AND(U$9&gt;=14/24,U$9&lt;20/24)</formula>
    </cfRule>
    <cfRule type="expression" dxfId="659" priority="174">
      <formula>AND(U$9&gt;=8/24,U$9&lt;14/24)</formula>
    </cfRule>
    <cfRule type="expression" dxfId="658" priority="175">
      <formula>U$9&lt;8/24</formula>
    </cfRule>
  </conditionalFormatting>
  <conditionalFormatting sqref="Z79:AF84">
    <cfRule type="expression" dxfId="657" priority="59">
      <formula>Z$9&gt;=20/24</formula>
    </cfRule>
    <cfRule type="expression" dxfId="656" priority="60">
      <formula>AND(Z$9&gt;=14/24,Z$9&lt;20/24)</formula>
    </cfRule>
    <cfRule type="expression" dxfId="655" priority="61">
      <formula>AND(Z$9&gt;=8/24,Z$9&lt;14/24)</formula>
    </cfRule>
    <cfRule type="expression" dxfId="654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53" priority="44">
      <formula>Z$9&gt;=20/24</formula>
    </cfRule>
    <cfRule type="expression" dxfId="652" priority="45">
      <formula>AND(Z$9&gt;=14/24,Z$9&lt;20/24)</formula>
    </cfRule>
    <cfRule type="expression" dxfId="651" priority="46">
      <formula>AND(Z$9&gt;=8/24,Z$9&lt;14/24)</formula>
    </cfRule>
    <cfRule type="expression" dxfId="650" priority="47">
      <formula>Z$9&lt;8/24</formula>
    </cfRule>
  </conditionalFormatting>
  <conditionalFormatting sqref="Z69:Z70">
    <cfRule type="expression" dxfId="649" priority="124">
      <formula>Z69&gt;$AG69</formula>
    </cfRule>
  </conditionalFormatting>
  <conditionalFormatting sqref="B66:Y70 B54:AF62 Z66:AF69">
    <cfRule type="expression" dxfId="648" priority="119">
      <formula>B54&gt;$AG54</formula>
    </cfRule>
  </conditionalFormatting>
  <conditionalFormatting sqref="AB8">
    <cfRule type="expression" dxfId="647" priority="168">
      <formula>AD$9&gt;=20/24</formula>
    </cfRule>
    <cfRule type="expression" dxfId="646" priority="169">
      <formula>AND(AD$9&gt;=14/24,AD$9&lt;20/24)</formula>
    </cfRule>
    <cfRule type="expression" dxfId="645" priority="170">
      <formula>AND(AD$9&gt;=8/24,AD$9&lt;14/24)</formula>
    </cfRule>
    <cfRule type="expression" dxfId="644" priority="171">
      <formula>AD$9&lt;8/24</formula>
    </cfRule>
  </conditionalFormatting>
  <conditionalFormatting sqref="AG78">
    <cfRule type="expression" dxfId="638" priority="147">
      <formula>AG$9&gt;=20/24</formula>
    </cfRule>
    <cfRule type="expression" dxfId="637" priority="148">
      <formula>AND(AG$9&gt;=14/24,AG$9&lt;20/24)</formula>
    </cfRule>
    <cfRule type="expression" dxfId="636" priority="149">
      <formula>AND(AG$9&gt;=8/24,AG$9&lt;14/24)</formula>
    </cfRule>
    <cfRule type="expression" dxfId="635" priority="150">
      <formula>AG$9&lt;8/24</formula>
    </cfRule>
  </conditionalFormatting>
  <conditionalFormatting sqref="AG91:AG92">
    <cfRule type="expression" dxfId="634" priority="142">
      <formula>AG91&gt;$AG91</formula>
    </cfRule>
  </conditionalFormatting>
  <conditionalFormatting sqref="AG96">
    <cfRule type="expression" dxfId="633" priority="143">
      <formula>AG$9&gt;=20/24</formula>
    </cfRule>
    <cfRule type="expression" dxfId="632" priority="144">
      <formula>AND(AG$9&gt;=14/24,AG$9&lt;20/24)</formula>
    </cfRule>
    <cfRule type="expression" dxfId="631" priority="145">
      <formula>AND(AG$9&gt;=8/24,AG$9&lt;14/24)</formula>
    </cfRule>
    <cfRule type="expression" dxfId="630" priority="146">
      <formula>AG$9&lt;8/24</formula>
    </cfRule>
  </conditionalFormatting>
  <conditionalFormatting sqref="AG113">
    <cfRule type="expression" dxfId="629" priority="164">
      <formula>AG$9&gt;=20/24</formula>
    </cfRule>
    <cfRule type="expression" dxfId="628" priority="165">
      <formula>AND(AG$9&gt;=14/24,AG$9&lt;20/24)</formula>
    </cfRule>
    <cfRule type="expression" dxfId="627" priority="166">
      <formula>AND(AG$9&gt;=8/24,AG$9&lt;14/24)</formula>
    </cfRule>
    <cfRule type="expression" dxfId="626" priority="167">
      <formula>AG$9&lt;8/24</formula>
    </cfRule>
  </conditionalFormatting>
  <conditionalFormatting sqref="AH8:AI10">
    <cfRule type="expression" dxfId="625" priority="55">
      <formula>AH$9&gt;=20/24</formula>
    </cfRule>
    <cfRule type="expression" dxfId="624" priority="56">
      <formula>AND(AH$9&gt;=14/24,AH$9&lt;20/24)</formula>
    </cfRule>
    <cfRule type="expression" dxfId="623" priority="57">
      <formula>AND(AH$9&gt;=8/24,AH$9&lt;14/24)</formula>
    </cfRule>
    <cfRule type="expression" dxfId="62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21" priority="185">
      <formula>AJ$9&gt;=20/24</formula>
    </cfRule>
    <cfRule type="expression" dxfId="620" priority="186">
      <formula>AND(AJ$9&gt;=14/24,AJ$9&lt;20/24)</formula>
    </cfRule>
    <cfRule type="expression" dxfId="619" priority="187">
      <formula>AND(AJ$9&gt;=8/24,AJ$9&lt;14/24)</formula>
    </cfRule>
    <cfRule type="expression" dxfId="618" priority="188">
      <formula>AJ$9&lt;8/24</formula>
    </cfRule>
  </conditionalFormatting>
  <conditionalFormatting sqref="AL99:AN99 AL105:AN105">
    <cfRule type="expression" dxfId="617" priority="157">
      <formula>AL$9&gt;=20/24</formula>
    </cfRule>
    <cfRule type="expression" dxfId="616" priority="158">
      <formula>AND(AL$9&gt;=14/24,AL$9&lt;20/24)</formula>
    </cfRule>
    <cfRule type="expression" dxfId="615" priority="159">
      <formula>AND(AL$9&gt;=8/24,AL$9&lt;14/24)</formula>
    </cfRule>
    <cfRule type="expression" dxfId="614" priority="160">
      <formula>AL$9&lt;8/24</formula>
    </cfRule>
  </conditionalFormatting>
  <conditionalFormatting sqref="AM15:AM21 AN16:AR21">
    <cfRule type="expression" dxfId="613" priority="81">
      <formula>AX$9&gt;=20/24</formula>
    </cfRule>
    <cfRule type="expression" dxfId="612" priority="82">
      <formula>AND(AX$9&gt;=14/24,AX$9&lt;20/24)</formula>
    </cfRule>
    <cfRule type="expression" dxfId="611" priority="83">
      <formula>AND(AX$9&gt;=8/24,AX$9&lt;14/24)</formula>
    </cfRule>
    <cfRule type="expression" dxfId="610" priority="84">
      <formula>AX$9&lt;8/24</formula>
    </cfRule>
  </conditionalFormatting>
  <conditionalFormatting sqref="AN100:AN103">
    <cfRule type="expression" dxfId="609" priority="153">
      <formula>AN$9&gt;=20/24</formula>
    </cfRule>
    <cfRule type="expression" dxfId="608" priority="154">
      <formula>AND(AN$9&gt;=14/24,AN$9&lt;20/24)</formula>
    </cfRule>
    <cfRule type="expression" dxfId="607" priority="155">
      <formula>AND(AN$9&gt;=8/24,AN$9&lt;14/24)</formula>
    </cfRule>
    <cfRule type="expression" dxfId="606" priority="156">
      <formula>AN$9&lt;8/24</formula>
    </cfRule>
  </conditionalFormatting>
  <conditionalFormatting sqref="AN15:AR15">
    <cfRule type="expression" dxfId="605" priority="69">
      <formula>U$9&gt;=20/24</formula>
    </cfRule>
    <cfRule type="expression" dxfId="604" priority="70">
      <formula>AND(U$9&gt;=14/24,U$9&lt;20/24)</formula>
    </cfRule>
    <cfRule type="expression" dxfId="603" priority="71">
      <formula>AND(U$9&gt;=8/24,U$9&lt;14/24)</formula>
    </cfRule>
    <cfRule type="expression" dxfId="602" priority="72">
      <formula>U$9&lt;8/24</formula>
    </cfRule>
  </conditionalFormatting>
  <conditionalFormatting sqref="AS15">
    <cfRule type="expression" dxfId="601" priority="77">
      <formula>AA$9&gt;=20/24</formula>
    </cfRule>
    <cfRule type="expression" dxfId="600" priority="78">
      <formula>AND(AA$9&gt;=14/24,AA$9&lt;20/24)</formula>
    </cfRule>
    <cfRule type="expression" dxfId="599" priority="79">
      <formula>AND(AA$9&gt;=8/24,AA$9&lt;14/24)</formula>
    </cfRule>
    <cfRule type="expression" dxfId="598" priority="80">
      <formula>AA$9&lt;8/24</formula>
    </cfRule>
  </conditionalFormatting>
  <conditionalFormatting sqref="AS16:AS21">
    <cfRule type="expression" dxfId="597" priority="85">
      <formula>BE$9&gt;=20/24</formula>
    </cfRule>
    <cfRule type="expression" dxfId="596" priority="86">
      <formula>AND(BE$9&gt;=14/24,BE$9&lt;20/24)</formula>
    </cfRule>
    <cfRule type="expression" dxfId="595" priority="87">
      <formula>AND(BE$9&gt;=8/24,BE$9&lt;14/24)</formula>
    </cfRule>
    <cfRule type="expression" dxfId="594" priority="88">
      <formula>BE$9&lt;8/24</formula>
    </cfRule>
  </conditionalFormatting>
  <conditionalFormatting sqref="AT15 AX15:BJ15">
    <cfRule type="expression" dxfId="593" priority="89">
      <formula>AC$9&gt;=20/24</formula>
    </cfRule>
    <cfRule type="expression" dxfId="592" priority="90">
      <formula>AND(AC$9&gt;=14/24,AC$9&lt;20/24)</formula>
    </cfRule>
    <cfRule type="expression" dxfId="591" priority="91">
      <formula>AND(AC$9&gt;=8/24,AC$9&lt;14/24)</formula>
    </cfRule>
    <cfRule type="expression" dxfId="590" priority="92">
      <formula>AC$9&lt;8/24</formula>
    </cfRule>
  </conditionalFormatting>
  <conditionalFormatting sqref="AT16:AT21">
    <cfRule type="expression" dxfId="589" priority="93">
      <formula>BG$9&gt;=20/24</formula>
    </cfRule>
    <cfRule type="expression" dxfId="588" priority="94">
      <formula>AND(BG$9&gt;=14/24,BG$9&lt;20/24)</formula>
    </cfRule>
    <cfRule type="expression" dxfId="587" priority="95">
      <formula>AND(BG$9&gt;=8/24,BG$9&lt;14/24)</formula>
    </cfRule>
    <cfRule type="expression" dxfId="586" priority="96">
      <formula>BG$9&lt;8/24</formula>
    </cfRule>
  </conditionalFormatting>
  <conditionalFormatting sqref="AU15:AV15">
    <cfRule type="expression" dxfId="585" priority="97">
      <formula>AE$9&gt;=20/24</formula>
    </cfRule>
    <cfRule type="expression" dxfId="584" priority="98">
      <formula>AND(AE$9&gt;=14/24,AE$9&lt;20/24)</formula>
    </cfRule>
    <cfRule type="expression" dxfId="583" priority="99">
      <formula>AND(AE$9&gt;=8/24,AE$9&lt;14/24)</formula>
    </cfRule>
    <cfRule type="expression" dxfId="582" priority="100">
      <formula>AE$9&lt;8/24</formula>
    </cfRule>
  </conditionalFormatting>
  <conditionalFormatting sqref="AU16:BJ21">
    <cfRule type="expression" dxfId="581" priority="101">
      <formula>BI$9&gt;=20/24</formula>
    </cfRule>
    <cfRule type="expression" dxfId="580" priority="102">
      <formula>AND(BI$9&gt;=14/24,BI$9&lt;20/24)</formula>
    </cfRule>
    <cfRule type="expression" dxfId="579" priority="103">
      <formula>AND(BI$9&gt;=8/24,BI$9&lt;14/24)</formula>
    </cfRule>
    <cfRule type="expression" dxfId="578" priority="104">
      <formula>BI$9&lt;8/24</formula>
    </cfRule>
  </conditionalFormatting>
  <conditionalFormatting sqref="AW15">
    <cfRule type="expression" dxfId="577" priority="73">
      <formula>B$9&gt;=20/24</formula>
    </cfRule>
    <cfRule type="expression" dxfId="576" priority="74">
      <formula>AND(B$9&gt;=14/24,B$9&lt;20/24)</formula>
    </cfRule>
    <cfRule type="expression" dxfId="575" priority="75">
      <formula>AND(B$9&gt;=8/24,B$9&lt;14/24)</formula>
    </cfRule>
    <cfRule type="expression" dxfId="574" priority="76">
      <formula>B$9&lt;8/24</formula>
    </cfRule>
  </conditionalFormatting>
  <conditionalFormatting sqref="A73">
    <cfRule type="expression" dxfId="573" priority="24">
      <formula>$AH73=0</formula>
    </cfRule>
  </conditionalFormatting>
  <conditionalFormatting sqref="B97:B107 B137:B152 B109:B112 B125:B134 B154:B159 C137:E151 C126:Q133 B11:Y13">
    <cfRule type="expression" dxfId="572" priority="20">
      <formula>B$9&gt;=20/24</formula>
    </cfRule>
  </conditionalFormatting>
  <conditionalFormatting sqref="B97:B107 B137:B152 B109:B112 B125:B134 B154:B159 C137:E151 C126:Q133 B11:Y13">
    <cfRule type="expression" dxfId="571" priority="21">
      <formula>AND(B$9&gt;=14/24,B$9&lt;20/24)</formula>
    </cfRule>
    <cfRule type="expression" dxfId="570" priority="22">
      <formula>AND(B$9&gt;=8/24,B$9&lt;14/24)</formula>
    </cfRule>
    <cfRule type="expression" dxfId="569" priority="23">
      <formula>B$9&lt;8/24</formula>
    </cfRule>
  </conditionalFormatting>
  <conditionalFormatting sqref="B14:Y28">
    <cfRule type="expression" dxfId="568" priority="10">
      <formula>B14&gt;$AG14*1</formula>
    </cfRule>
    <cfRule type="expression" dxfId="567" priority="11">
      <formula>B$9&gt;=20/24</formula>
    </cfRule>
    <cfRule type="expression" dxfId="566" priority="12">
      <formula>AND(B$9&gt;=14/24,B$9&lt;20/24)</formula>
    </cfRule>
    <cfRule type="expression" dxfId="565" priority="13">
      <formula>AND(B$9&gt;=8/24,B$9&lt;14/24)</formula>
    </cfRule>
    <cfRule type="expression" dxfId="564" priority="14">
      <formula>B$9&lt;8/24</formula>
    </cfRule>
  </conditionalFormatting>
  <conditionalFormatting sqref="B161:B167">
    <cfRule type="expression" dxfId="563" priority="15">
      <formula>B$9&gt;=20/24</formula>
    </cfRule>
    <cfRule type="expression" dxfId="562" priority="16">
      <formula>AND(B$9&gt;=14/24,B$9&lt;20/24)</formula>
    </cfRule>
    <cfRule type="expression" dxfId="561" priority="17">
      <formula>AND(B$9&gt;=8/24,B$9&lt;14/24)</formula>
    </cfRule>
    <cfRule type="expression" dxfId="560" priority="18">
      <formula>B$9&lt;8/24</formula>
    </cfRule>
  </conditionalFormatting>
  <conditionalFormatting sqref="B169:B274">
    <cfRule type="expression" dxfId="559" priority="6">
      <formula>B$9&gt;=20/24</formula>
    </cfRule>
    <cfRule type="expression" dxfId="558" priority="7">
      <formula>AND(B$9&gt;=14/24,B$9&lt;20/24)</formula>
    </cfRule>
    <cfRule type="expression" dxfId="557" priority="8">
      <formula>AND(B$9&gt;=8/24,B$9&lt;14/24)</formula>
    </cfRule>
    <cfRule type="expression" dxfId="556" priority="9">
      <formula>B$9&lt;8/24</formula>
    </cfRule>
  </conditionalFormatting>
  <conditionalFormatting sqref="B11:Y13">
    <cfRule type="expression" dxfId="555" priority="19">
      <formula>B11&gt;$AG11*1</formula>
    </cfRule>
  </conditionalFormatting>
  <conditionalFormatting sqref="A153">
    <cfRule type="expression" dxfId="55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53" priority="1">
      <formula>AL$9&gt;=20/24</formula>
    </cfRule>
  </conditionalFormatting>
  <conditionalFormatting sqref="AL153">
    <cfRule type="expression" dxfId="552" priority="2">
      <formula>AND(AL$9&gt;=14/24,AL$9&lt;20/24)</formula>
    </cfRule>
    <cfRule type="expression" dxfId="551" priority="3">
      <formula>AND(AL$9&gt;=8/24,AL$9&lt;14/24)</formula>
    </cfRule>
    <cfRule type="expression" dxfId="55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9" priority="25">
      <formula>$AH11=0</formula>
    </cfRule>
  </conditionalFormatting>
  <conditionalFormatting sqref="A101:A102">
    <cfRule type="expression" dxfId="548" priority="193">
      <formula>$AH106=0</formula>
    </cfRule>
  </conditionalFormatting>
  <conditionalFormatting sqref="A103:A107">
    <cfRule type="expression" dxfId="547" priority="141">
      <formula>$AH102=0</formula>
    </cfRule>
  </conditionalFormatting>
  <conditionalFormatting sqref="A160:A167">
    <cfRule type="expression" dxfId="546" priority="194">
      <formula>$AH267=0</formula>
    </cfRule>
  </conditionalFormatting>
  <conditionalFormatting sqref="A168:A275">
    <cfRule type="expression" dxfId="545" priority="64">
      <formula>$AH168=0</formula>
    </cfRule>
  </conditionalFormatting>
  <conditionalFormatting sqref="B8">
    <cfRule type="expression" dxfId="544" priority="189">
      <formula>AND(C$9&gt;=14/24,C$9&lt;20/24)</formula>
    </cfRule>
    <cfRule type="expression" dxfId="543" priority="190">
      <formula>AND(C$9&gt;=8/24,C$9&lt;14/24)</formula>
    </cfRule>
    <cfRule type="expression" dxfId="542" priority="191">
      <formula>C$9&lt;8/24</formula>
    </cfRule>
    <cfRule type="expression" dxfId="541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40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9" priority="107">
      <formula>AND(B$9&gt;=14/24,B$9&lt;20/24)</formula>
    </cfRule>
    <cfRule type="expression" dxfId="538" priority="108">
      <formula>AND(B$9&gt;=8/24,B$9&lt;14/24)</formula>
    </cfRule>
    <cfRule type="expression" dxfId="537" priority="109">
      <formula>B$9&lt;8/24</formula>
    </cfRule>
  </conditionalFormatting>
  <conditionalFormatting sqref="B29:AF53">
    <cfRule type="expression" dxfId="536" priority="49">
      <formula>B29&gt;$AG29*1</formula>
    </cfRule>
    <cfRule type="expression" dxfId="535" priority="50">
      <formula>B$9&gt;=20/24</formula>
    </cfRule>
    <cfRule type="expression" dxfId="534" priority="51">
      <formula>AND(B$9&gt;=14/24,B$9&lt;20/24)</formula>
    </cfRule>
    <cfRule type="expression" dxfId="533" priority="52">
      <formula>AND(B$9&gt;=8/24,B$9&lt;14/24)</formula>
    </cfRule>
    <cfRule type="expression" dxfId="532" priority="53">
      <formula>B$9&lt;8/24</formula>
    </cfRule>
  </conditionalFormatting>
  <conditionalFormatting sqref="B54:AF68">
    <cfRule type="expression" dxfId="531" priority="42">
      <formula>B$9&lt;8/24</formula>
    </cfRule>
  </conditionalFormatting>
  <conditionalFormatting sqref="B54:AF70">
    <cfRule type="expression" dxfId="530" priority="39">
      <formula>B$9&gt;=20/24</formula>
    </cfRule>
    <cfRule type="expression" dxfId="529" priority="40">
      <formula>AND(B$9&gt;=14/24,B$9&lt;20/24)</formula>
    </cfRule>
    <cfRule type="expression" dxfId="528" priority="41">
      <formula>AND(B$9&gt;=8/24,B$9&lt;14/24)</formula>
    </cfRule>
  </conditionalFormatting>
  <conditionalFormatting sqref="B63:AF65">
    <cfRule type="expression" dxfId="527" priority="43">
      <formula>B63&gt;$AG63</formula>
    </cfRule>
  </conditionalFormatting>
  <conditionalFormatting sqref="B69:AF70">
    <cfRule type="expression" dxfId="526" priority="114">
      <formula>B$9&lt;8/24</formula>
    </cfRule>
  </conditionalFormatting>
  <conditionalFormatting sqref="B72:AF75">
    <cfRule type="expression" dxfId="525" priority="30">
      <formula>B72&gt;$AG72*1</formula>
    </cfRule>
  </conditionalFormatting>
  <conditionalFormatting sqref="B73:AF75">
    <cfRule type="expression" dxfId="524" priority="31">
      <formula>B$9&gt;=20/24</formula>
    </cfRule>
    <cfRule type="expression" dxfId="523" priority="32">
      <formula>AND(B$9&gt;=14/24,B$9&lt;20/24)</formula>
    </cfRule>
    <cfRule type="expression" dxfId="522" priority="33">
      <formula>AND(B$9&gt;=8/24,B$9&lt;14/24)</formula>
    </cfRule>
    <cfRule type="expression" dxfId="521" priority="34">
      <formula>B$9&lt;8/24</formula>
    </cfRule>
  </conditionalFormatting>
  <conditionalFormatting sqref="C161:AF167">
    <cfRule type="expression" dxfId="520" priority="65">
      <formula>C$9&gt;=20/24</formula>
    </cfRule>
    <cfRule type="expression" dxfId="519" priority="66">
      <formula>AND(C$9&gt;=14/24,C$9&lt;20/24)</formula>
    </cfRule>
    <cfRule type="expression" dxfId="518" priority="67">
      <formula>AND(C$9&gt;=8/24,C$9&lt;14/24)</formula>
    </cfRule>
    <cfRule type="expression" dxfId="517" priority="68">
      <formula>C$9&lt;8/24</formula>
    </cfRule>
  </conditionalFormatting>
  <conditionalFormatting sqref="C169:AF274">
    <cfRule type="expression" dxfId="516" priority="26">
      <formula>C$9&gt;=20/24</formula>
    </cfRule>
    <cfRule type="expression" dxfId="515" priority="27">
      <formula>AND(C$9&gt;=14/24,C$9&lt;20/24)</formula>
    </cfRule>
    <cfRule type="expression" dxfId="514" priority="28">
      <formula>AND(C$9&gt;=8/24,C$9&lt;14/24)</formula>
    </cfRule>
    <cfRule type="expression" dxfId="513" priority="29">
      <formula>C$9&lt;8/24</formula>
    </cfRule>
  </conditionalFormatting>
  <conditionalFormatting sqref="AG78 AG96 B71:AG71 B69:AF69 B76:AF96">
    <cfRule type="expression" dxfId="512" priority="105">
      <formula>B69&gt;$AG69*1</formula>
    </cfRule>
  </conditionalFormatting>
  <conditionalFormatting sqref="G79:AF83">
    <cfRule type="expression" dxfId="511" priority="115">
      <formula>G$9&gt;=20/24</formula>
    </cfRule>
    <cfRule type="expression" dxfId="510" priority="116">
      <formula>AND(G$9&gt;=14/24,G$9&lt;20/24)</formula>
    </cfRule>
    <cfRule type="expression" dxfId="509" priority="117">
      <formula>AND(G$9&gt;=8/24,G$9&lt;14/24)</formula>
    </cfRule>
    <cfRule type="expression" dxfId="508" priority="118">
      <formula>G$9&lt;8/24</formula>
    </cfRule>
  </conditionalFormatting>
  <conditionalFormatting sqref="G84:AF84">
    <cfRule type="expression" dxfId="507" priority="110">
      <formula>G$9&gt;=20/24</formula>
    </cfRule>
    <cfRule type="expression" dxfId="506" priority="111">
      <formula>AND(G$9&gt;=14/24,G$9&lt;20/24)</formula>
    </cfRule>
    <cfRule type="expression" dxfId="505" priority="112">
      <formula>AND(G$9&gt;=8/24,G$9&lt;14/24)</formula>
    </cfRule>
    <cfRule type="expression" dxfId="504" priority="113">
      <formula>G$9&lt;8/24</formula>
    </cfRule>
  </conditionalFormatting>
  <conditionalFormatting sqref="G78:AF78 B72:AF72">
    <cfRule type="expression" dxfId="503" priority="125">
      <formula>B$9&gt;=20/24</formula>
    </cfRule>
    <cfRule type="expression" dxfId="502" priority="126">
      <formula>AND(B$9&gt;=14/24,B$9&lt;20/24)</formula>
    </cfRule>
    <cfRule type="expression" dxfId="501" priority="127">
      <formula>AND(B$9&gt;=8/24,B$9&lt;14/24)</formula>
    </cfRule>
    <cfRule type="expression" dxfId="500" priority="128">
      <formula>B$9&lt;8/24</formula>
    </cfRule>
  </conditionalFormatting>
  <conditionalFormatting sqref="G79:AF81">
    <cfRule type="expression" dxfId="495" priority="133">
      <formula>G$9&gt;=20/24</formula>
    </cfRule>
    <cfRule type="expression" dxfId="494" priority="134">
      <formula>AND(G$9&gt;=14/24,G$9&lt;20/24)</formula>
    </cfRule>
    <cfRule type="expression" dxfId="493" priority="135">
      <formula>AND(G$9&gt;=8/24,G$9&lt;14/24)</formula>
    </cfRule>
    <cfRule type="expression" dxfId="492" priority="136">
      <formula>G$9&lt;8/24</formula>
    </cfRule>
  </conditionalFormatting>
  <conditionalFormatting sqref="L84:AF84">
    <cfRule type="expression" dxfId="491" priority="129">
      <formula>L$9&gt;=20/24</formula>
    </cfRule>
    <cfRule type="expression" dxfId="490" priority="130">
      <formula>AND(L$9&gt;=14/24,L$9&lt;20/24)</formula>
    </cfRule>
    <cfRule type="expression" dxfId="489" priority="131">
      <formula>AND(L$9&gt;=8/24,L$9&lt;14/24)</formula>
    </cfRule>
    <cfRule type="expression" dxfId="488" priority="132">
      <formula>L$9&lt;8/24</formula>
    </cfRule>
  </conditionalFormatting>
  <conditionalFormatting sqref="M8 S8 AB8">
    <cfRule type="expression" dxfId="487" priority="182">
      <formula>AND(N$9&gt;=14/24,N$9&lt;20/24)</formula>
    </cfRule>
    <cfRule type="expression" dxfId="486" priority="183">
      <formula>AND(N$9&gt;=8/24,N$9&lt;14/24)</formula>
    </cfRule>
    <cfRule type="expression" dxfId="485" priority="184">
      <formula>N$9&lt;8/24</formula>
    </cfRule>
  </conditionalFormatting>
  <conditionalFormatting sqref="Y79:AF83">
    <cfRule type="expression" dxfId="484" priority="137">
      <formula>Y$9&gt;=20/24</formula>
    </cfRule>
    <cfRule type="expression" dxfId="483" priority="138">
      <formula>AND(Y$9&gt;=14/24,Y$9&lt;20/24)</formula>
    </cfRule>
    <cfRule type="expression" dxfId="482" priority="139">
      <formula>AND(Y$9&gt;=8/24,Y$9&lt;14/24)</formula>
    </cfRule>
    <cfRule type="expression" dxfId="481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" priority="181">
      <formula>N$9&gt;=20/24</formula>
    </cfRule>
  </conditionalFormatting>
  <conditionalFormatting sqref="S8">
    <cfRule type="expression" dxfId="479" priority="172">
      <formula>U$9&gt;=20/24</formula>
    </cfRule>
    <cfRule type="expression" dxfId="478" priority="173">
      <formula>AND(U$9&gt;=14/24,U$9&lt;20/24)</formula>
    </cfRule>
    <cfRule type="expression" dxfId="477" priority="174">
      <formula>AND(U$9&gt;=8/24,U$9&lt;14/24)</formula>
    </cfRule>
    <cfRule type="expression" dxfId="476" priority="175">
      <formula>U$9&lt;8/24</formula>
    </cfRule>
  </conditionalFormatting>
  <conditionalFormatting sqref="Y79:AF84">
    <cfRule type="expression" dxfId="475" priority="59">
      <formula>Y$9&gt;=20/24</formula>
    </cfRule>
    <cfRule type="expression" dxfId="474" priority="60">
      <formula>AND(Y$9&gt;=14/24,Y$9&lt;20/24)</formula>
    </cfRule>
    <cfRule type="expression" dxfId="473" priority="61">
      <formula>AND(Y$9&gt;=8/24,Y$9&lt;14/24)</formula>
    </cfRule>
    <cfRule type="expression" dxfId="472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6" priority="119">
      <formula>B54&gt;$AG54</formula>
    </cfRule>
  </conditionalFormatting>
  <conditionalFormatting sqref="AB8">
    <cfRule type="expression" dxfId="465" priority="168">
      <formula>AD$9&gt;=20/24</formula>
    </cfRule>
    <cfRule type="expression" dxfId="464" priority="169">
      <formula>AND(AD$9&gt;=14/24,AD$9&lt;20/24)</formula>
    </cfRule>
    <cfRule type="expression" dxfId="463" priority="170">
      <formula>AND(AD$9&gt;=8/24,AD$9&lt;14/24)</formula>
    </cfRule>
    <cfRule type="expression" dxfId="462" priority="171">
      <formula>AD$9&lt;8/24</formula>
    </cfRule>
  </conditionalFormatting>
  <conditionalFormatting sqref="AG78">
    <cfRule type="expression" dxfId="456" priority="147">
      <formula>AG$9&gt;=20/24</formula>
    </cfRule>
    <cfRule type="expression" dxfId="455" priority="148">
      <formula>AND(AG$9&gt;=14/24,AG$9&lt;20/24)</formula>
    </cfRule>
    <cfRule type="expression" dxfId="454" priority="149">
      <formula>AND(AG$9&gt;=8/24,AG$9&lt;14/24)</formula>
    </cfRule>
    <cfRule type="expression" dxfId="453" priority="150">
      <formula>AG$9&lt;8/24</formula>
    </cfRule>
  </conditionalFormatting>
  <conditionalFormatting sqref="AG91:AG92">
    <cfRule type="expression" dxfId="452" priority="142">
      <formula>AG91&gt;$AG91</formula>
    </cfRule>
  </conditionalFormatting>
  <conditionalFormatting sqref="AG96">
    <cfRule type="expression" dxfId="451" priority="143">
      <formula>AG$9&gt;=20/24</formula>
    </cfRule>
    <cfRule type="expression" dxfId="450" priority="144">
      <formula>AND(AG$9&gt;=14/24,AG$9&lt;20/24)</formula>
    </cfRule>
    <cfRule type="expression" dxfId="449" priority="145">
      <formula>AND(AG$9&gt;=8/24,AG$9&lt;14/24)</formula>
    </cfRule>
    <cfRule type="expression" dxfId="448" priority="146">
      <formula>AG$9&lt;8/24</formula>
    </cfRule>
  </conditionalFormatting>
  <conditionalFormatting sqref="AG113">
    <cfRule type="expression" dxfId="447" priority="164">
      <formula>AG$9&gt;=20/24</formula>
    </cfRule>
    <cfRule type="expression" dxfId="446" priority="165">
      <formula>AND(AG$9&gt;=14/24,AG$9&lt;20/24)</formula>
    </cfRule>
    <cfRule type="expression" dxfId="445" priority="166">
      <formula>AND(AG$9&gt;=8/24,AG$9&lt;14/24)</formula>
    </cfRule>
    <cfRule type="expression" dxfId="444" priority="167">
      <formula>AG$9&lt;8/24</formula>
    </cfRule>
  </conditionalFormatting>
  <conditionalFormatting sqref="AH8:AI10">
    <cfRule type="expression" dxfId="443" priority="55">
      <formula>AH$9&gt;=20/24</formula>
    </cfRule>
    <cfRule type="expression" dxfId="442" priority="56">
      <formula>AND(AH$9&gt;=14/24,AH$9&lt;20/24)</formula>
    </cfRule>
    <cfRule type="expression" dxfId="441" priority="57">
      <formula>AND(AH$9&gt;=8/24,AH$9&lt;14/24)</formula>
    </cfRule>
    <cfRule type="expression" dxfId="440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" priority="185">
      <formula>AJ$9&gt;=20/24</formula>
    </cfRule>
    <cfRule type="expression" dxfId="438" priority="186">
      <formula>AND(AJ$9&gt;=14/24,AJ$9&lt;20/24)</formula>
    </cfRule>
    <cfRule type="expression" dxfId="437" priority="187">
      <formula>AND(AJ$9&gt;=8/24,AJ$9&lt;14/24)</formula>
    </cfRule>
    <cfRule type="expression" dxfId="436" priority="188">
      <formula>AJ$9&lt;8/24</formula>
    </cfRule>
  </conditionalFormatting>
  <conditionalFormatting sqref="AL99:AN99 AL105:AN105">
    <cfRule type="expression" dxfId="435" priority="157">
      <formula>AL$9&gt;=20/24</formula>
    </cfRule>
    <cfRule type="expression" dxfId="434" priority="158">
      <formula>AND(AL$9&gt;=14/24,AL$9&lt;20/24)</formula>
    </cfRule>
    <cfRule type="expression" dxfId="433" priority="159">
      <formula>AND(AL$9&gt;=8/24,AL$9&lt;14/24)</formula>
    </cfRule>
    <cfRule type="expression" dxfId="432" priority="160">
      <formula>AL$9&lt;8/24</formula>
    </cfRule>
  </conditionalFormatting>
  <conditionalFormatting sqref="AM15:AM21 AN16:AR21">
    <cfRule type="expression" dxfId="431" priority="81">
      <formula>AX$9&gt;=20/24</formula>
    </cfRule>
    <cfRule type="expression" dxfId="430" priority="82">
      <formula>AND(AX$9&gt;=14/24,AX$9&lt;20/24)</formula>
    </cfRule>
    <cfRule type="expression" dxfId="429" priority="83">
      <formula>AND(AX$9&gt;=8/24,AX$9&lt;14/24)</formula>
    </cfRule>
    <cfRule type="expression" dxfId="428" priority="84">
      <formula>AX$9&lt;8/24</formula>
    </cfRule>
  </conditionalFormatting>
  <conditionalFormatting sqref="AN100:AN103">
    <cfRule type="expression" dxfId="427" priority="153">
      <formula>AN$9&gt;=20/24</formula>
    </cfRule>
    <cfRule type="expression" dxfId="426" priority="154">
      <formula>AND(AN$9&gt;=14/24,AN$9&lt;20/24)</formula>
    </cfRule>
    <cfRule type="expression" dxfId="425" priority="155">
      <formula>AND(AN$9&gt;=8/24,AN$9&lt;14/24)</formula>
    </cfRule>
    <cfRule type="expression" dxfId="424" priority="156">
      <formula>AN$9&lt;8/24</formula>
    </cfRule>
  </conditionalFormatting>
  <conditionalFormatting sqref="AN15:AR15">
    <cfRule type="expression" dxfId="423" priority="69">
      <formula>U$9&gt;=20/24</formula>
    </cfRule>
    <cfRule type="expression" dxfId="422" priority="70">
      <formula>AND(U$9&gt;=14/24,U$9&lt;20/24)</formula>
    </cfRule>
    <cfRule type="expression" dxfId="421" priority="71">
      <formula>AND(U$9&gt;=8/24,U$9&lt;14/24)</formula>
    </cfRule>
    <cfRule type="expression" dxfId="420" priority="72">
      <formula>U$9&lt;8/24</formula>
    </cfRule>
  </conditionalFormatting>
  <conditionalFormatting sqref="AS15">
    <cfRule type="expression" dxfId="419" priority="77">
      <formula>AA$9&gt;=20/24</formula>
    </cfRule>
    <cfRule type="expression" dxfId="418" priority="78">
      <formula>AND(AA$9&gt;=14/24,AA$9&lt;20/24)</formula>
    </cfRule>
    <cfRule type="expression" dxfId="417" priority="79">
      <formula>AND(AA$9&gt;=8/24,AA$9&lt;14/24)</formula>
    </cfRule>
    <cfRule type="expression" dxfId="416" priority="80">
      <formula>AA$9&lt;8/24</formula>
    </cfRule>
  </conditionalFormatting>
  <conditionalFormatting sqref="AS16:AS21">
    <cfRule type="expression" dxfId="415" priority="85">
      <formula>BE$9&gt;=20/24</formula>
    </cfRule>
    <cfRule type="expression" dxfId="414" priority="86">
      <formula>AND(BE$9&gt;=14/24,BE$9&lt;20/24)</formula>
    </cfRule>
    <cfRule type="expression" dxfId="413" priority="87">
      <formula>AND(BE$9&gt;=8/24,BE$9&lt;14/24)</formula>
    </cfRule>
    <cfRule type="expression" dxfId="412" priority="88">
      <formula>BE$9&lt;8/24</formula>
    </cfRule>
  </conditionalFormatting>
  <conditionalFormatting sqref="AT15 AX15:BJ15">
    <cfRule type="expression" dxfId="411" priority="89">
      <formula>AC$9&gt;=20/24</formula>
    </cfRule>
    <cfRule type="expression" dxfId="410" priority="90">
      <formula>AND(AC$9&gt;=14/24,AC$9&lt;20/24)</formula>
    </cfRule>
    <cfRule type="expression" dxfId="409" priority="91">
      <formula>AND(AC$9&gt;=8/24,AC$9&lt;14/24)</formula>
    </cfRule>
    <cfRule type="expression" dxfId="408" priority="92">
      <formula>AC$9&lt;8/24</formula>
    </cfRule>
  </conditionalFormatting>
  <conditionalFormatting sqref="AT16:AT21">
    <cfRule type="expression" dxfId="407" priority="93">
      <formula>BG$9&gt;=20/24</formula>
    </cfRule>
    <cfRule type="expression" dxfId="406" priority="94">
      <formula>AND(BG$9&gt;=14/24,BG$9&lt;20/24)</formula>
    </cfRule>
    <cfRule type="expression" dxfId="405" priority="95">
      <formula>AND(BG$9&gt;=8/24,BG$9&lt;14/24)</formula>
    </cfRule>
    <cfRule type="expression" dxfId="404" priority="96">
      <formula>BG$9&lt;8/24</formula>
    </cfRule>
  </conditionalFormatting>
  <conditionalFormatting sqref="AU15:AV15">
    <cfRule type="expression" dxfId="403" priority="97">
      <formula>AE$9&gt;=20/24</formula>
    </cfRule>
    <cfRule type="expression" dxfId="402" priority="98">
      <formula>AND(AE$9&gt;=14/24,AE$9&lt;20/24)</formula>
    </cfRule>
    <cfRule type="expression" dxfId="401" priority="99">
      <formula>AND(AE$9&gt;=8/24,AE$9&lt;14/24)</formula>
    </cfRule>
    <cfRule type="expression" dxfId="400" priority="100">
      <formula>AE$9&lt;8/24</formula>
    </cfRule>
  </conditionalFormatting>
  <conditionalFormatting sqref="AU16:BJ21">
    <cfRule type="expression" dxfId="399" priority="101">
      <formula>BI$9&gt;=20/24</formula>
    </cfRule>
    <cfRule type="expression" dxfId="398" priority="102">
      <formula>AND(BI$9&gt;=14/24,BI$9&lt;20/24)</formula>
    </cfRule>
    <cfRule type="expression" dxfId="397" priority="103">
      <formula>AND(BI$9&gt;=8/24,BI$9&lt;14/24)</formula>
    </cfRule>
    <cfRule type="expression" dxfId="396" priority="104">
      <formula>BI$9&lt;8/24</formula>
    </cfRule>
  </conditionalFormatting>
  <conditionalFormatting sqref="AW15">
    <cfRule type="expression" dxfId="395" priority="73">
      <formula>B$9&gt;=20/24</formula>
    </cfRule>
    <cfRule type="expression" dxfId="394" priority="74">
      <formula>AND(B$9&gt;=14/24,B$9&lt;20/24)</formula>
    </cfRule>
    <cfRule type="expression" dxfId="393" priority="75">
      <formula>AND(B$9&gt;=8/24,B$9&lt;14/24)</formula>
    </cfRule>
    <cfRule type="expression" dxfId="392" priority="76">
      <formula>B$9&lt;8/24</formula>
    </cfRule>
  </conditionalFormatting>
  <conditionalFormatting sqref="A73">
    <cfRule type="expression" dxfId="391" priority="24">
      <formula>$AH73=0</formula>
    </cfRule>
  </conditionalFormatting>
  <conditionalFormatting sqref="B137:B152 B154:B159 B97:F107 C137:F151 B109:F112 B125:F134 G131:R133 B11:AF13">
    <cfRule type="expression" dxfId="390" priority="20">
      <formula>B$9&gt;=20/24</formula>
    </cfRule>
  </conditionalFormatting>
  <conditionalFormatting sqref="B137:B152 B154:B159 B97:F107 C137:F151 B109:F112 B125:F134 G131:R133 B11:AF13">
    <cfRule type="expression" dxfId="389" priority="21">
      <formula>AND(B$9&gt;=14/24,B$9&lt;20/24)</formula>
    </cfRule>
    <cfRule type="expression" dxfId="388" priority="22">
      <formula>AND(B$9&gt;=8/24,B$9&lt;14/24)</formula>
    </cfRule>
    <cfRule type="expression" dxfId="387" priority="23">
      <formula>B$9&lt;8/24</formula>
    </cfRule>
  </conditionalFormatting>
  <conditionalFormatting sqref="B14:AF28">
    <cfRule type="expression" dxfId="386" priority="10">
      <formula>B14&gt;$AG14*1</formula>
    </cfRule>
    <cfRule type="expression" dxfId="385" priority="11">
      <formula>B$9&gt;=20/24</formula>
    </cfRule>
    <cfRule type="expression" dxfId="384" priority="12">
      <formula>AND(B$9&gt;=14/24,B$9&lt;20/24)</formula>
    </cfRule>
    <cfRule type="expression" dxfId="383" priority="13">
      <formula>AND(B$9&gt;=8/24,B$9&lt;14/24)</formula>
    </cfRule>
    <cfRule type="expression" dxfId="382" priority="14">
      <formula>B$9&lt;8/24</formula>
    </cfRule>
  </conditionalFormatting>
  <conditionalFormatting sqref="B161:B167">
    <cfRule type="expression" dxfId="381" priority="15">
      <formula>B$9&gt;=20/24</formula>
    </cfRule>
    <cfRule type="expression" dxfId="380" priority="16">
      <formula>AND(B$9&gt;=14/24,B$9&lt;20/24)</formula>
    </cfRule>
    <cfRule type="expression" dxfId="379" priority="17">
      <formula>AND(B$9&gt;=8/24,B$9&lt;14/24)</formula>
    </cfRule>
    <cfRule type="expression" dxfId="378" priority="18">
      <formula>B$9&lt;8/24</formula>
    </cfRule>
  </conditionalFormatting>
  <conditionalFormatting sqref="B169:B274">
    <cfRule type="expression" dxfId="377" priority="6">
      <formula>B$9&gt;=20/24</formula>
    </cfRule>
    <cfRule type="expression" dxfId="376" priority="7">
      <formula>AND(B$9&gt;=14/24,B$9&lt;20/24)</formula>
    </cfRule>
    <cfRule type="expression" dxfId="375" priority="8">
      <formula>AND(B$9&gt;=8/24,B$9&lt;14/24)</formula>
    </cfRule>
    <cfRule type="expression" dxfId="374" priority="9">
      <formula>B$9&lt;8/24</formula>
    </cfRule>
  </conditionalFormatting>
  <conditionalFormatting sqref="B11:AF13">
    <cfRule type="expression" dxfId="373" priority="19">
      <formula>B11&gt;$AG11*1</formula>
    </cfRule>
  </conditionalFormatting>
  <conditionalFormatting sqref="A153">
    <cfRule type="expression" dxfId="37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1" priority="1">
      <formula>AL$9&gt;=20/24</formula>
    </cfRule>
  </conditionalFormatting>
  <conditionalFormatting sqref="AL153">
    <cfRule type="expression" dxfId="370" priority="2">
      <formula>AND(AL$9&gt;=14/24,AL$9&lt;20/24)</formula>
    </cfRule>
    <cfRule type="expression" dxfId="369" priority="3">
      <formula>AND(AL$9&gt;=8/24,AL$9&lt;14/24)</formula>
    </cfRule>
    <cfRule type="expression" dxfId="36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Y1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K15" sqref="AK1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Load=172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1804.3800000000006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/>
      <c r="AF11" s="44"/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/>
      <c r="AF12" s="44"/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/>
      <c r="AF13" s="44"/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/>
      <c r="AF14" s="44"/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/>
      <c r="AF15" s="44"/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/>
      <c r="AF16" s="44"/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/>
      <c r="AF17" s="44"/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579.30000000000007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/>
      <c r="AF18" s="44"/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51.9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/>
      <c r="AF22" s="44"/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2184.38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/>
      <c r="AF23" s="44"/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/>
      <c r="AF24" s="44"/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/>
      <c r="AF25" s="44"/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1804.38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/>
      <c r="AF26" s="44"/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/>
      <c r="AF27" s="44"/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/>
      <c r="AF28" s="44"/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/>
      <c r="AF31" s="44"/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/>
      <c r="AF32" s="44"/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/>
      <c r="AF33" s="44"/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/>
      <c r="AF35" s="44"/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/>
      <c r="AF36" s="44"/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/>
      <c r="AF37" s="44"/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/>
      <c r="AF38" s="44"/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/>
      <c r="AF42" s="44"/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/>
      <c r="AF44" s="44"/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/>
      <c r="AF46" s="44"/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/>
      <c r="AF47" s="44"/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/>
      <c r="AF49" s="44"/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/>
      <c r="AF51" s="44"/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/>
      <c r="AF52" s="44"/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/>
      <c r="AF55" s="44"/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/>
      <c r="AF57" s="44"/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/>
      <c r="AF58" s="44"/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/>
      <c r="AF60" s="44"/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/>
      <c r="AF61" s="44"/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/>
      <c r="AF66" s="44"/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/>
      <c r="AF67" s="44"/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/>
      <c r="AF68" s="44"/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D70" si="23">60.8+69.1</f>
        <v>129.89999999999998</v>
      </c>
      <c r="AD70" s="66">
        <f t="shared" si="23"/>
        <v>129.89999999999998</v>
      </c>
      <c r="AE70" s="66"/>
      <c r="AF70" s="66"/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si="25"/>
        <v>170</v>
      </c>
      <c r="AF71" s="70">
        <f t="shared" si="25"/>
        <v>170</v>
      </c>
      <c r="AG71" s="70">
        <f t="shared" si="25"/>
        <v>1812.2049999999999</v>
      </c>
      <c r="AH71" s="46">
        <f t="shared" si="2"/>
        <v>1127.58</v>
      </c>
      <c r="AI71" s="47">
        <f t="shared" si="3"/>
        <v>170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392.1</v>
      </c>
      <c r="AE72" s="44"/>
      <c r="AF72" s="44"/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/>
      <c r="AF73" s="43"/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/>
      <c r="AF74" s="43"/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/>
      <c r="AF75" s="43"/>
      <c r="AG75" s="75">
        <v>42.5</v>
      </c>
      <c r="AH75" s="46">
        <f t="shared" ref="AH75:AH138" si="30">MAX(B75:AF75)</f>
        <v>29.9</v>
      </c>
      <c r="AI75" s="47">
        <f t="shared" ref="AI75:AI138" si="31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/>
      <c r="AF76" s="43"/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/>
      <c r="AF77" s="77"/>
      <c r="AG77" s="78">
        <v>14.8</v>
      </c>
      <c r="AH77" s="46">
        <f t="shared" si="30"/>
        <v>13.6</v>
      </c>
      <c r="AI77" s="47">
        <f t="shared" si="31"/>
        <v>8.5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642.5</v>
      </c>
      <c r="C78" s="70">
        <f t="shared" si="32"/>
        <v>525</v>
      </c>
      <c r="D78" s="70">
        <f t="shared" ref="D78:AG78" si="33">SUM(D72:D77)</f>
        <v>555.00000000000011</v>
      </c>
      <c r="E78" s="70">
        <f t="shared" si="33"/>
        <v>579.1</v>
      </c>
      <c r="F78" s="70">
        <f t="shared" si="33"/>
        <v>578.9</v>
      </c>
      <c r="G78" s="70">
        <f t="shared" si="33"/>
        <v>570.5</v>
      </c>
      <c r="H78" s="70">
        <f t="shared" si="33"/>
        <v>537.1</v>
      </c>
      <c r="I78" s="70">
        <f t="shared" si="33"/>
        <v>519.1</v>
      </c>
      <c r="J78" s="70">
        <f t="shared" si="33"/>
        <v>577</v>
      </c>
      <c r="K78" s="70">
        <f t="shared" si="33"/>
        <v>577</v>
      </c>
      <c r="L78" s="70">
        <f t="shared" si="33"/>
        <v>623</v>
      </c>
      <c r="M78" s="70">
        <f t="shared" ref="M78:N78" si="34">SUM(M72:M77)</f>
        <v>508.8</v>
      </c>
      <c r="N78" s="70">
        <f t="shared" si="34"/>
        <v>524.5</v>
      </c>
      <c r="O78" s="70">
        <f t="shared" si="33"/>
        <v>550.40000000000009</v>
      </c>
      <c r="P78" s="70">
        <f t="shared" ref="P78:Q78" si="35">SUM(P72:P77)</f>
        <v>487.7</v>
      </c>
      <c r="Q78" s="70">
        <f t="shared" si="35"/>
        <v>365.9</v>
      </c>
      <c r="R78" s="70">
        <f t="shared" si="33"/>
        <v>253.70000000000002</v>
      </c>
      <c r="S78" s="70">
        <f t="shared" ref="S78:T78" si="36">SUM(S72:S77)</f>
        <v>162.29999999999998</v>
      </c>
      <c r="T78" s="70">
        <f t="shared" si="36"/>
        <v>162.29999999999998</v>
      </c>
      <c r="U78" s="70">
        <f t="shared" ref="U78:V78" si="37">SUM(U72:U77)</f>
        <v>162.29999999999998</v>
      </c>
      <c r="V78" s="70">
        <f t="shared" si="37"/>
        <v>162.29999999999998</v>
      </c>
      <c r="W78" s="70">
        <f t="shared" si="33"/>
        <v>162.29999999999998</v>
      </c>
      <c r="X78" s="70">
        <f t="shared" si="33"/>
        <v>512.29999999999995</v>
      </c>
      <c r="Y78" s="70">
        <f t="shared" ref="Y78" si="38">SUM(Y72:Y77)</f>
        <v>482.29999999999995</v>
      </c>
      <c r="Z78" s="70">
        <f t="shared" si="33"/>
        <v>574.1</v>
      </c>
      <c r="AA78" s="70">
        <f t="shared" ref="AA78:AB78" si="39">SUM(AA72:AA77)</f>
        <v>638.20000000000005</v>
      </c>
      <c r="AB78" s="70">
        <f t="shared" si="39"/>
        <v>579.30000000000007</v>
      </c>
      <c r="AC78" s="70">
        <f t="shared" ref="AC78:AD78" si="40">SUM(AC72:AC77)</f>
        <v>579.30000000000007</v>
      </c>
      <c r="AD78" s="70">
        <f t="shared" si="40"/>
        <v>579.30000000000007</v>
      </c>
      <c r="AE78" s="70">
        <f t="shared" si="33"/>
        <v>0</v>
      </c>
      <c r="AF78" s="70">
        <f t="shared" si="33"/>
        <v>0</v>
      </c>
      <c r="AG78" s="80">
        <f t="shared" si="33"/>
        <v>706.4</v>
      </c>
      <c r="AH78" s="46">
        <f t="shared" si="30"/>
        <v>642.5</v>
      </c>
      <c r="AI78" s="47">
        <f t="shared" si="31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/>
      <c r="AF79" s="44"/>
      <c r="AG79" s="61">
        <v>144</v>
      </c>
      <c r="AH79" s="46">
        <f t="shared" si="30"/>
        <v>96.6</v>
      </c>
      <c r="AI79" s="47">
        <f t="shared" si="31"/>
        <v>96.6</v>
      </c>
      <c r="AK79" s="49"/>
      <c r="AY79" s="1" t="s">
        <v>99</v>
      </c>
      <c r="AZ79" s="82">
        <f>ROUND(C97,0)</f>
        <v>-445</v>
      </c>
      <c r="BA79" s="81">
        <f t="shared" ref="BA79:BD83" si="41">D97</f>
        <v>-495</v>
      </c>
      <c r="BB79" s="81">
        <f t="shared" si="41"/>
        <v>-509.5</v>
      </c>
      <c r="BC79" s="81">
        <f t="shared" si="41"/>
        <v>-532.4</v>
      </c>
      <c r="BD79" s="81">
        <f t="shared" si="41"/>
        <v>-541</v>
      </c>
      <c r="BE79" s="82">
        <f>I97</f>
        <v>-510.9</v>
      </c>
      <c r="BF79" s="82">
        <f>K97</f>
        <v>-453</v>
      </c>
      <c r="BG79" s="82">
        <f t="shared" ref="BG79:BP83" si="42">M97</f>
        <v>-362</v>
      </c>
      <c r="BH79" s="82">
        <f t="shared" si="42"/>
        <v>-318</v>
      </c>
      <c r="BI79" s="82">
        <f t="shared" si="42"/>
        <v>-356</v>
      </c>
      <c r="BJ79" s="82">
        <f t="shared" si="42"/>
        <v>-281</v>
      </c>
      <c r="BK79" s="82">
        <f t="shared" si="42"/>
        <v>-157</v>
      </c>
      <c r="BL79" s="82">
        <f t="shared" si="42"/>
        <v>-157</v>
      </c>
      <c r="BM79" s="82">
        <f t="shared" si="42"/>
        <v>79.599999999999994</v>
      </c>
      <c r="BN79" s="82">
        <f t="shared" si="42"/>
        <v>104.3</v>
      </c>
      <c r="BO79" s="82">
        <f t="shared" si="42"/>
        <v>96.5</v>
      </c>
      <c r="BP79" s="82">
        <f t="shared" si="42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3">AD97</f>
        <v>-380</v>
      </c>
      <c r="BU79" s="81">
        <f t="shared" si="43"/>
        <v>0</v>
      </c>
      <c r="BV79" s="81">
        <f t="shared" si="43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4"/>
      <c r="AF80" s="44"/>
      <c r="AG80" s="64">
        <v>70</v>
      </c>
      <c r="AH80" s="46">
        <f t="shared" si="30"/>
        <v>70</v>
      </c>
      <c r="AI80" s="47">
        <f t="shared" si="31"/>
        <v>35.4</v>
      </c>
      <c r="AK80" s="49"/>
      <c r="AY80" s="1" t="s">
        <v>101</v>
      </c>
      <c r="AZ80" s="82">
        <f>ROUND(C98,0)</f>
        <v>0</v>
      </c>
      <c r="BA80" s="81">
        <f t="shared" si="41"/>
        <v>0</v>
      </c>
      <c r="BB80" s="81">
        <f t="shared" si="41"/>
        <v>28.9</v>
      </c>
      <c r="BC80" s="81">
        <f t="shared" si="41"/>
        <v>28.3</v>
      </c>
      <c r="BD80" s="81">
        <f t="shared" si="41"/>
        <v>25.6</v>
      </c>
      <c r="BE80" s="82">
        <f>I98</f>
        <v>21.5</v>
      </c>
      <c r="BF80" s="82">
        <f>K98</f>
        <v>40.9</v>
      </c>
      <c r="BG80" s="82">
        <f t="shared" si="42"/>
        <v>40</v>
      </c>
      <c r="BH80" s="82">
        <f t="shared" si="42"/>
        <v>4.2</v>
      </c>
      <c r="BI80" s="82">
        <f t="shared" si="42"/>
        <v>4.0999999999999996</v>
      </c>
      <c r="BJ80" s="82">
        <f t="shared" si="42"/>
        <v>4</v>
      </c>
      <c r="BK80" s="82">
        <f t="shared" si="42"/>
        <v>4</v>
      </c>
      <c r="BL80" s="82">
        <f t="shared" si="42"/>
        <v>4</v>
      </c>
      <c r="BM80" s="82">
        <f t="shared" si="42"/>
        <v>2.5</v>
      </c>
      <c r="BN80" s="82">
        <f t="shared" si="42"/>
        <v>2.5</v>
      </c>
      <c r="BO80" s="82">
        <f t="shared" si="42"/>
        <v>2.4</v>
      </c>
      <c r="BP80" s="82">
        <f t="shared" si="42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3"/>
        <v>37</v>
      </c>
      <c r="BU80" s="81">
        <f t="shared" si="43"/>
        <v>0</v>
      </c>
      <c r="BV80" s="81">
        <f t="shared" si="43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4"/>
      <c r="AF81" s="44"/>
      <c r="AG81" s="64">
        <v>69</v>
      </c>
      <c r="AH81" s="46">
        <f t="shared" si="30"/>
        <v>72.5</v>
      </c>
      <c r="AI81" s="47">
        <f t="shared" si="31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1"/>
        <v>44</v>
      </c>
      <c r="BB81" s="81">
        <f t="shared" si="41"/>
        <v>0</v>
      </c>
      <c r="BC81" s="81">
        <f t="shared" si="41"/>
        <v>0</v>
      </c>
      <c r="BD81" s="81">
        <f t="shared" si="41"/>
        <v>0</v>
      </c>
      <c r="BE81" s="82">
        <f>I99</f>
        <v>0</v>
      </c>
      <c r="BF81" s="82">
        <f>K99</f>
        <v>0</v>
      </c>
      <c r="BG81" s="82">
        <f t="shared" si="42"/>
        <v>0</v>
      </c>
      <c r="BH81" s="82">
        <f t="shared" si="42"/>
        <v>47.6</v>
      </c>
      <c r="BI81" s="82">
        <f t="shared" si="42"/>
        <v>53.2</v>
      </c>
      <c r="BJ81" s="82">
        <f t="shared" si="42"/>
        <v>56.6</v>
      </c>
      <c r="BK81" s="82">
        <f t="shared" si="42"/>
        <v>57.8</v>
      </c>
      <c r="BL81" s="82">
        <f t="shared" si="42"/>
        <v>57.8</v>
      </c>
      <c r="BM81" s="82">
        <f t="shared" si="42"/>
        <v>63.3</v>
      </c>
      <c r="BN81" s="82">
        <f t="shared" si="42"/>
        <v>63.3</v>
      </c>
      <c r="BO81" s="82">
        <f t="shared" si="42"/>
        <v>64.900000000000006</v>
      </c>
      <c r="BP81" s="82">
        <f t="shared" si="42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3"/>
        <v>0</v>
      </c>
      <c r="BU81" s="81">
        <f t="shared" si="43"/>
        <v>0</v>
      </c>
      <c r="BV81" s="81">
        <f t="shared" si="43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4"/>
      <c r="AF82" s="44"/>
      <c r="AG82" s="64">
        <v>60</v>
      </c>
      <c r="AH82" s="46">
        <f t="shared" si="30"/>
        <v>58</v>
      </c>
      <c r="AI82" s="47">
        <f t="shared" si="31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1"/>
        <v>20.100000000000001</v>
      </c>
      <c r="BB82" s="81">
        <f t="shared" si="41"/>
        <v>19.8</v>
      </c>
      <c r="BC82" s="81">
        <f t="shared" si="41"/>
        <v>20.3</v>
      </c>
      <c r="BD82" s="81">
        <f t="shared" si="41"/>
        <v>20.3</v>
      </c>
      <c r="BE82" s="82">
        <f>I100</f>
        <v>16.600000000000001</v>
      </c>
      <c r="BF82" s="82">
        <f>K100</f>
        <v>18.5</v>
      </c>
      <c r="BG82" s="82">
        <f t="shared" si="42"/>
        <v>18</v>
      </c>
      <c r="BH82" s="82">
        <f t="shared" si="42"/>
        <v>14.6</v>
      </c>
      <c r="BI82" s="82">
        <f t="shared" si="42"/>
        <v>12.8</v>
      </c>
      <c r="BJ82" s="82">
        <f t="shared" si="42"/>
        <v>12.2</v>
      </c>
      <c r="BK82" s="82">
        <f t="shared" si="42"/>
        <v>12.2</v>
      </c>
      <c r="BL82" s="82">
        <f t="shared" si="42"/>
        <v>12.2</v>
      </c>
      <c r="BM82" s="82">
        <f t="shared" si="42"/>
        <v>15.3</v>
      </c>
      <c r="BN82" s="82">
        <f t="shared" si="42"/>
        <v>15.3</v>
      </c>
      <c r="BO82" s="82">
        <f t="shared" si="42"/>
        <v>16.899999999999999</v>
      </c>
      <c r="BP82" s="82">
        <f t="shared" si="42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3"/>
        <v>20.399999999999999</v>
      </c>
      <c r="BU82" s="81">
        <f t="shared" si="43"/>
        <v>0</v>
      </c>
      <c r="BV82" s="81">
        <f t="shared" si="43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/>
      <c r="AF83" s="44"/>
      <c r="AG83" s="64">
        <v>30</v>
      </c>
      <c r="AH83" s="46">
        <f t="shared" si="30"/>
        <v>26.8</v>
      </c>
      <c r="AI83" s="47">
        <f t="shared" si="31"/>
        <v>0</v>
      </c>
      <c r="AK83" s="49"/>
      <c r="AY83" s="1" t="s">
        <v>107</v>
      </c>
      <c r="AZ83" s="82">
        <f>ROUND(C101,0)</f>
        <v>0</v>
      </c>
      <c r="BA83" s="81">
        <f t="shared" si="41"/>
        <v>0</v>
      </c>
      <c r="BB83" s="81">
        <f t="shared" si="41"/>
        <v>0</v>
      </c>
      <c r="BC83" s="81">
        <f t="shared" si="41"/>
        <v>0</v>
      </c>
      <c r="BD83" s="81">
        <f t="shared" si="41"/>
        <v>60</v>
      </c>
      <c r="BE83" s="82">
        <f>I101</f>
        <v>57</v>
      </c>
      <c r="BF83" s="82">
        <f>K101</f>
        <v>53.3</v>
      </c>
      <c r="BG83" s="82">
        <f t="shared" si="42"/>
        <v>52.7</v>
      </c>
      <c r="BH83" s="82">
        <f t="shared" si="42"/>
        <v>55.2</v>
      </c>
      <c r="BI83" s="82">
        <f t="shared" si="42"/>
        <v>55.8</v>
      </c>
      <c r="BJ83" s="82">
        <f t="shared" si="42"/>
        <v>60</v>
      </c>
      <c r="BK83" s="82">
        <f t="shared" si="42"/>
        <v>57.7</v>
      </c>
      <c r="BL83" s="82">
        <f t="shared" si="42"/>
        <v>57.7</v>
      </c>
      <c r="BM83" s="82">
        <f t="shared" si="42"/>
        <v>56.3</v>
      </c>
      <c r="BN83" s="82">
        <f t="shared" si="42"/>
        <v>60</v>
      </c>
      <c r="BO83" s="82">
        <f t="shared" si="42"/>
        <v>61.4</v>
      </c>
      <c r="BP83" s="82">
        <f t="shared" si="42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3"/>
        <v>0</v>
      </c>
      <c r="BU83" s="81">
        <f t="shared" si="43"/>
        <v>0</v>
      </c>
      <c r="BV83" s="81">
        <f t="shared" si="43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3"/>
      <c r="AF84" s="43"/>
      <c r="AG84" s="64">
        <v>25</v>
      </c>
      <c r="AH84" s="46">
        <f t="shared" si="30"/>
        <v>14.6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4">M107</f>
        <v>0</v>
      </c>
      <c r="BH84" s="82">
        <f t="shared" si="44"/>
        <v>0</v>
      </c>
      <c r="BI84" s="82">
        <f t="shared" si="44"/>
        <v>0</v>
      </c>
      <c r="BJ84" s="82">
        <f t="shared" si="44"/>
        <v>0</v>
      </c>
      <c r="BK84" s="82">
        <f t="shared" si="44"/>
        <v>0</v>
      </c>
      <c r="BL84" s="82">
        <f t="shared" si="44"/>
        <v>0</v>
      </c>
      <c r="BM84" s="82">
        <f t="shared" si="44"/>
        <v>0</v>
      </c>
      <c r="BN84" s="82">
        <f t="shared" si="44"/>
        <v>0</v>
      </c>
      <c r="BO84" s="82">
        <f t="shared" si="44"/>
        <v>0</v>
      </c>
      <c r="BP84" s="82">
        <f t="shared" si="44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/>
      <c r="AF85" s="43"/>
      <c r="AG85" s="64">
        <v>24</v>
      </c>
      <c r="AH85" s="46">
        <f t="shared" si="30"/>
        <v>11.7</v>
      </c>
      <c r="AI85" s="47">
        <f t="shared" si="31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/>
      <c r="AF86" s="43"/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5">VALUE(AZ79)</f>
        <v>-445</v>
      </c>
      <c r="BA86" s="82">
        <f t="shared" si="45"/>
        <v>-495</v>
      </c>
      <c r="BB86" s="82">
        <f t="shared" si="45"/>
        <v>-509.5</v>
      </c>
      <c r="BC86" s="82">
        <f t="shared" si="45"/>
        <v>-532.4</v>
      </c>
      <c r="BD86" s="82">
        <f t="shared" si="45"/>
        <v>-541</v>
      </c>
      <c r="BE86" s="82">
        <f t="shared" si="45"/>
        <v>-510.9</v>
      </c>
      <c r="BF86" s="82">
        <f t="shared" si="45"/>
        <v>-453</v>
      </c>
      <c r="BG86" s="82">
        <f t="shared" si="45"/>
        <v>-362</v>
      </c>
      <c r="BH86" s="82">
        <f t="shared" si="45"/>
        <v>-318</v>
      </c>
      <c r="BI86" s="82">
        <f t="shared" si="45"/>
        <v>-356</v>
      </c>
      <c r="BJ86" s="82">
        <f t="shared" si="45"/>
        <v>-281</v>
      </c>
      <c r="BK86" s="82">
        <f t="shared" si="45"/>
        <v>-157</v>
      </c>
      <c r="BL86" s="82">
        <f t="shared" si="45"/>
        <v>-157</v>
      </c>
      <c r="BM86" s="82">
        <f t="shared" si="45"/>
        <v>79.599999999999994</v>
      </c>
      <c r="BN86" s="82">
        <f t="shared" si="45"/>
        <v>104.3</v>
      </c>
      <c r="BO86" s="82">
        <f t="shared" si="45"/>
        <v>96.5</v>
      </c>
      <c r="BP86" s="82">
        <f t="shared" si="45"/>
        <v>-323.3</v>
      </c>
      <c r="BQ86" s="82">
        <f t="shared" si="45"/>
        <v>-300</v>
      </c>
      <c r="BR86" s="82">
        <f t="shared" si="45"/>
        <v>-254.1</v>
      </c>
      <c r="BS86" s="82">
        <f t="shared" si="45"/>
        <v>-274</v>
      </c>
      <c r="BT86" s="82">
        <f t="shared" si="45"/>
        <v>-380</v>
      </c>
      <c r="BU86" s="82">
        <f t="shared" si="45"/>
        <v>0</v>
      </c>
      <c r="BV86" s="82">
        <f t="shared" si="45"/>
        <v>0</v>
      </c>
      <c r="BW86" s="82">
        <f t="shared" si="45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/>
      <c r="AF87" s="43"/>
      <c r="AG87" s="64">
        <v>14.1</v>
      </c>
      <c r="AH87" s="46">
        <f t="shared" si="30"/>
        <v>8.6999999999999993</v>
      </c>
      <c r="AI87" s="47">
        <f t="shared" si="31"/>
        <v>6.9</v>
      </c>
      <c r="AK87" s="49"/>
      <c r="AZ87" s="82">
        <f t="shared" si="45"/>
        <v>0</v>
      </c>
      <c r="BA87" s="82">
        <f t="shared" si="45"/>
        <v>0</v>
      </c>
      <c r="BB87" s="82">
        <f t="shared" si="45"/>
        <v>28.9</v>
      </c>
      <c r="BC87" s="82">
        <f t="shared" si="45"/>
        <v>28.3</v>
      </c>
      <c r="BD87" s="82">
        <f t="shared" si="45"/>
        <v>25.6</v>
      </c>
      <c r="BE87" s="82">
        <f t="shared" si="45"/>
        <v>21.5</v>
      </c>
      <c r="BF87" s="82">
        <f t="shared" si="45"/>
        <v>40.9</v>
      </c>
      <c r="BG87" s="82">
        <f t="shared" si="45"/>
        <v>40</v>
      </c>
      <c r="BH87" s="82">
        <f t="shared" si="45"/>
        <v>4.2</v>
      </c>
      <c r="BI87" s="82">
        <f t="shared" si="45"/>
        <v>4.0999999999999996</v>
      </c>
      <c r="BJ87" s="82">
        <f t="shared" si="45"/>
        <v>4</v>
      </c>
      <c r="BK87" s="82">
        <f t="shared" si="45"/>
        <v>4</v>
      </c>
      <c r="BL87" s="82">
        <f t="shared" si="45"/>
        <v>4</v>
      </c>
      <c r="BM87" s="82">
        <f t="shared" si="45"/>
        <v>2.5</v>
      </c>
      <c r="BN87" s="82">
        <f t="shared" si="45"/>
        <v>2.5</v>
      </c>
      <c r="BO87" s="82">
        <f t="shared" si="45"/>
        <v>2.4</v>
      </c>
      <c r="BP87" s="82">
        <f t="shared" si="45"/>
        <v>2.2000000000000002</v>
      </c>
      <c r="BQ87" s="82">
        <f t="shared" si="45"/>
        <v>2.2000000000000002</v>
      </c>
      <c r="BR87" s="82">
        <f t="shared" si="45"/>
        <v>33.1</v>
      </c>
      <c r="BS87" s="82">
        <f t="shared" si="45"/>
        <v>34.5</v>
      </c>
      <c r="BT87" s="82">
        <f t="shared" si="45"/>
        <v>37</v>
      </c>
      <c r="BU87" s="82">
        <f t="shared" si="45"/>
        <v>0</v>
      </c>
      <c r="BV87" s="82">
        <f t="shared" si="45"/>
        <v>0</v>
      </c>
      <c r="BW87" s="82">
        <f t="shared" si="45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/>
      <c r="AF88" s="43"/>
      <c r="AG88" s="64">
        <v>14</v>
      </c>
      <c r="AH88" s="46">
        <f t="shared" si="30"/>
        <v>11.4</v>
      </c>
      <c r="AI88" s="47">
        <f t="shared" si="31"/>
        <v>9.1</v>
      </c>
      <c r="AK88" s="49"/>
      <c r="AZ88" s="82">
        <f t="shared" si="45"/>
        <v>47</v>
      </c>
      <c r="BA88" s="82">
        <f t="shared" si="45"/>
        <v>44</v>
      </c>
      <c r="BB88" s="82">
        <f t="shared" si="45"/>
        <v>0</v>
      </c>
      <c r="BC88" s="82">
        <f t="shared" si="45"/>
        <v>0</v>
      </c>
      <c r="BD88" s="82">
        <f t="shared" si="45"/>
        <v>0</v>
      </c>
      <c r="BE88" s="82">
        <f t="shared" si="45"/>
        <v>0</v>
      </c>
      <c r="BF88" s="82">
        <f t="shared" si="45"/>
        <v>0</v>
      </c>
      <c r="BG88" s="82">
        <f t="shared" si="45"/>
        <v>0</v>
      </c>
      <c r="BH88" s="82">
        <f t="shared" si="45"/>
        <v>47.6</v>
      </c>
      <c r="BI88" s="82">
        <f t="shared" si="45"/>
        <v>53.2</v>
      </c>
      <c r="BJ88" s="82">
        <f t="shared" si="45"/>
        <v>56.6</v>
      </c>
      <c r="BK88" s="82">
        <f t="shared" si="45"/>
        <v>57.8</v>
      </c>
      <c r="BL88" s="82">
        <f t="shared" si="45"/>
        <v>57.8</v>
      </c>
      <c r="BM88" s="82">
        <f t="shared" si="45"/>
        <v>63.3</v>
      </c>
      <c r="BN88" s="82">
        <f t="shared" si="45"/>
        <v>63.3</v>
      </c>
      <c r="BO88" s="82">
        <f t="shared" si="45"/>
        <v>64.900000000000006</v>
      </c>
      <c r="BP88" s="82">
        <f t="shared" si="45"/>
        <v>60.3</v>
      </c>
      <c r="BQ88" s="82">
        <f t="shared" si="45"/>
        <v>61</v>
      </c>
      <c r="BR88" s="82">
        <f t="shared" si="45"/>
        <v>0</v>
      </c>
      <c r="BS88" s="82">
        <f t="shared" si="45"/>
        <v>0</v>
      </c>
      <c r="BT88" s="82">
        <f t="shared" si="45"/>
        <v>0</v>
      </c>
      <c r="BU88" s="82">
        <f t="shared" si="45"/>
        <v>0</v>
      </c>
      <c r="BV88" s="82">
        <f t="shared" si="45"/>
        <v>0</v>
      </c>
      <c r="BW88" s="82">
        <f t="shared" si="45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/>
      <c r="AF89" s="43"/>
      <c r="AG89" s="64">
        <v>10.050000000000001</v>
      </c>
      <c r="AH89" s="46">
        <f t="shared" si="30"/>
        <v>9.1999999999999993</v>
      </c>
      <c r="AI89" s="47">
        <f t="shared" si="31"/>
        <v>9</v>
      </c>
      <c r="AK89" s="49"/>
      <c r="AZ89" s="82">
        <f t="shared" si="45"/>
        <v>21</v>
      </c>
      <c r="BA89" s="82">
        <f t="shared" si="45"/>
        <v>20.100000000000001</v>
      </c>
      <c r="BB89" s="82">
        <f t="shared" si="45"/>
        <v>19.8</v>
      </c>
      <c r="BC89" s="82">
        <f t="shared" si="45"/>
        <v>20.3</v>
      </c>
      <c r="BD89" s="82">
        <f t="shared" si="45"/>
        <v>20.3</v>
      </c>
      <c r="BE89" s="82">
        <f t="shared" si="45"/>
        <v>16.600000000000001</v>
      </c>
      <c r="BF89" s="82">
        <f t="shared" si="45"/>
        <v>18.5</v>
      </c>
      <c r="BG89" s="82">
        <f t="shared" si="45"/>
        <v>18</v>
      </c>
      <c r="BH89" s="82">
        <f t="shared" si="45"/>
        <v>14.6</v>
      </c>
      <c r="BI89" s="82">
        <f t="shared" si="45"/>
        <v>12.8</v>
      </c>
      <c r="BJ89" s="82">
        <f t="shared" si="45"/>
        <v>12.2</v>
      </c>
      <c r="BK89" s="82">
        <f t="shared" si="45"/>
        <v>12.2</v>
      </c>
      <c r="BL89" s="82">
        <f t="shared" si="45"/>
        <v>12.2</v>
      </c>
      <c r="BM89" s="82">
        <f t="shared" si="45"/>
        <v>15.3</v>
      </c>
      <c r="BN89" s="82">
        <f t="shared" si="45"/>
        <v>15.3</v>
      </c>
      <c r="BO89" s="82">
        <f t="shared" si="45"/>
        <v>16.899999999999999</v>
      </c>
      <c r="BP89" s="82">
        <f t="shared" si="45"/>
        <v>18.3</v>
      </c>
      <c r="BQ89" s="82">
        <f t="shared" si="45"/>
        <v>15.6</v>
      </c>
      <c r="BR89" s="82">
        <f t="shared" si="45"/>
        <v>18.5</v>
      </c>
      <c r="BS89" s="82">
        <f t="shared" si="45"/>
        <v>20.399999999999999</v>
      </c>
      <c r="BT89" s="82">
        <f t="shared" si="45"/>
        <v>20.399999999999999</v>
      </c>
      <c r="BU89" s="82">
        <f t="shared" si="45"/>
        <v>0</v>
      </c>
      <c r="BV89" s="82">
        <f t="shared" si="45"/>
        <v>0</v>
      </c>
      <c r="BW89" s="82">
        <f t="shared" si="45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/>
      <c r="AF90" s="43"/>
      <c r="AG90" s="64">
        <v>6.2</v>
      </c>
      <c r="AH90" s="46">
        <f t="shared" si="30"/>
        <v>4</v>
      </c>
      <c r="AI90" s="47">
        <f t="shared" si="31"/>
        <v>4</v>
      </c>
      <c r="AK90" s="49"/>
      <c r="AZ90" s="82">
        <f t="shared" si="45"/>
        <v>0</v>
      </c>
      <c r="BA90" s="82">
        <f t="shared" si="45"/>
        <v>0</v>
      </c>
      <c r="BB90" s="82">
        <f t="shared" si="45"/>
        <v>0</v>
      </c>
      <c r="BC90" s="82">
        <f t="shared" si="45"/>
        <v>0</v>
      </c>
      <c r="BD90" s="82">
        <f t="shared" si="45"/>
        <v>60</v>
      </c>
      <c r="BE90" s="82">
        <f t="shared" si="45"/>
        <v>57</v>
      </c>
      <c r="BF90" s="82">
        <f t="shared" si="45"/>
        <v>53.3</v>
      </c>
      <c r="BG90" s="82">
        <f t="shared" si="45"/>
        <v>52.7</v>
      </c>
      <c r="BH90" s="82">
        <f t="shared" si="45"/>
        <v>55.2</v>
      </c>
      <c r="BI90" s="82">
        <f t="shared" si="45"/>
        <v>55.8</v>
      </c>
      <c r="BJ90" s="82">
        <f t="shared" si="45"/>
        <v>60</v>
      </c>
      <c r="BK90" s="82">
        <f t="shared" si="45"/>
        <v>57.7</v>
      </c>
      <c r="BL90" s="82">
        <f t="shared" si="45"/>
        <v>57.7</v>
      </c>
      <c r="BM90" s="82">
        <f t="shared" si="45"/>
        <v>56.3</v>
      </c>
      <c r="BN90" s="82">
        <f t="shared" si="45"/>
        <v>60</v>
      </c>
      <c r="BO90" s="82">
        <f t="shared" si="45"/>
        <v>61.4</v>
      </c>
      <c r="BP90" s="82">
        <f t="shared" si="45"/>
        <v>62.3</v>
      </c>
      <c r="BQ90" s="82">
        <f t="shared" si="45"/>
        <v>56.4</v>
      </c>
      <c r="BR90" s="82">
        <f t="shared" si="45"/>
        <v>57.1</v>
      </c>
      <c r="BS90" s="82">
        <f t="shared" si="45"/>
        <v>0</v>
      </c>
      <c r="BT90" s="82">
        <f t="shared" si="45"/>
        <v>0</v>
      </c>
      <c r="BU90" s="82">
        <f t="shared" si="45"/>
        <v>0</v>
      </c>
      <c r="BV90" s="82">
        <f t="shared" si="45"/>
        <v>0</v>
      </c>
      <c r="BW90" s="82">
        <f t="shared" si="45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5"/>
        <v>0</v>
      </c>
      <c r="BA91" s="82">
        <f t="shared" si="45"/>
        <v>0</v>
      </c>
      <c r="BB91" s="82">
        <f t="shared" si="45"/>
        <v>0</v>
      </c>
      <c r="BC91" s="82">
        <f t="shared" si="45"/>
        <v>0</v>
      </c>
      <c r="BD91" s="82">
        <f t="shared" si="45"/>
        <v>0</v>
      </c>
      <c r="BE91" s="82">
        <f t="shared" si="45"/>
        <v>0</v>
      </c>
      <c r="BF91" s="82">
        <f t="shared" si="45"/>
        <v>0</v>
      </c>
      <c r="BG91" s="82">
        <f t="shared" si="45"/>
        <v>0</v>
      </c>
      <c r="BH91" s="82">
        <f t="shared" si="45"/>
        <v>0</v>
      </c>
      <c r="BI91" s="82">
        <f t="shared" si="45"/>
        <v>0</v>
      </c>
      <c r="BJ91" s="82">
        <f t="shared" si="45"/>
        <v>0</v>
      </c>
      <c r="BK91" s="82">
        <f t="shared" si="45"/>
        <v>0</v>
      </c>
      <c r="BL91" s="82">
        <f t="shared" si="45"/>
        <v>0</v>
      </c>
      <c r="BM91" s="82">
        <f t="shared" si="45"/>
        <v>0</v>
      </c>
      <c r="BN91" s="82">
        <f t="shared" si="45"/>
        <v>0</v>
      </c>
      <c r="BO91" s="82">
        <f t="shared" si="45"/>
        <v>0</v>
      </c>
      <c r="BP91" s="82">
        <f t="shared" si="45"/>
        <v>0</v>
      </c>
      <c r="BQ91" s="82">
        <f t="shared" si="45"/>
        <v>0</v>
      </c>
      <c r="BR91" s="82">
        <f t="shared" si="45"/>
        <v>0</v>
      </c>
      <c r="BS91" s="82">
        <f t="shared" si="45"/>
        <v>0</v>
      </c>
      <c r="BT91" s="82">
        <f t="shared" si="45"/>
        <v>0</v>
      </c>
      <c r="BU91" s="82">
        <f t="shared" si="45"/>
        <v>0</v>
      </c>
      <c r="BV91" s="82">
        <f t="shared" si="45"/>
        <v>0</v>
      </c>
      <c r="BW91" s="82">
        <f t="shared" si="45"/>
        <v>0</v>
      </c>
    </row>
    <row r="92" spans="1:75" ht="15.75" thickBot="1" x14ac:dyDescent="0.3">
      <c r="A92" s="87" t="s">
        <v>117</v>
      </c>
      <c r="B92" s="70">
        <f t="shared" ref="B92:C92" si="46">SUM(B79:B91)</f>
        <v>354.40000000000003</v>
      </c>
      <c r="C92" s="70">
        <f t="shared" si="46"/>
        <v>348.49999999999994</v>
      </c>
      <c r="D92" s="70">
        <f t="shared" ref="B92:AG92" si="47">SUM(D79:D91)</f>
        <v>351.79999999999995</v>
      </c>
      <c r="E92" s="70">
        <f t="shared" si="47"/>
        <v>351.79999999999995</v>
      </c>
      <c r="F92" s="70">
        <f t="shared" si="47"/>
        <v>345.99999999999994</v>
      </c>
      <c r="G92" s="70">
        <f t="shared" si="47"/>
        <v>304.59999999999997</v>
      </c>
      <c r="H92" s="70">
        <f t="shared" si="47"/>
        <v>314.59999999999997</v>
      </c>
      <c r="I92" s="70">
        <f t="shared" si="47"/>
        <v>314.59999999999997</v>
      </c>
      <c r="J92" s="70">
        <f t="shared" si="47"/>
        <v>333.39999999999992</v>
      </c>
      <c r="K92" s="70">
        <f t="shared" si="47"/>
        <v>333.39999999999992</v>
      </c>
      <c r="L92" s="70">
        <f t="shared" si="47"/>
        <v>333.39999999999992</v>
      </c>
      <c r="M92" s="70">
        <f t="shared" si="47"/>
        <v>352.3</v>
      </c>
      <c r="N92" s="70">
        <f t="shared" si="47"/>
        <v>355.59999999999997</v>
      </c>
      <c r="O92" s="70">
        <f t="shared" ref="O92:P92" si="48">SUM(O79:O91)</f>
        <v>357.00000000000006</v>
      </c>
      <c r="P92" s="70">
        <f t="shared" si="48"/>
        <v>335.00000000000006</v>
      </c>
      <c r="Q92" s="70">
        <f t="shared" ref="Q92" si="49">SUM(Q79:Q91)</f>
        <v>336.20000000000005</v>
      </c>
      <c r="R92" s="70">
        <f t="shared" si="47"/>
        <v>345.20000000000005</v>
      </c>
      <c r="S92" s="70">
        <f t="shared" ref="S92:T92" si="50">SUM(S79:S91)</f>
        <v>343.1</v>
      </c>
      <c r="T92" s="70">
        <f t="shared" si="50"/>
        <v>347.5</v>
      </c>
      <c r="U92" s="70">
        <f t="shared" ref="U92:V92" si="51">SUM(U79:U91)</f>
        <v>346</v>
      </c>
      <c r="V92" s="70">
        <f t="shared" si="51"/>
        <v>346</v>
      </c>
      <c r="W92" s="70">
        <f t="shared" ref="W92" si="52">SUM(W79:W91)</f>
        <v>340.3</v>
      </c>
      <c r="X92" s="70">
        <f t="shared" si="47"/>
        <v>339.5</v>
      </c>
      <c r="Y92" s="70">
        <f t="shared" si="47"/>
        <v>311.10000000000002</v>
      </c>
      <c r="Z92" s="70">
        <f t="shared" si="47"/>
        <v>311.10000000000002</v>
      </c>
      <c r="AA92" s="70">
        <f t="shared" si="47"/>
        <v>345.70000000000005</v>
      </c>
      <c r="AB92" s="70">
        <f t="shared" ref="AB92:AD92" si="53">SUM(AB79:AB91)</f>
        <v>327.20000000000005</v>
      </c>
      <c r="AC92" s="70">
        <f t="shared" si="53"/>
        <v>327.20000000000005</v>
      </c>
      <c r="AD92" s="70">
        <f t="shared" si="53"/>
        <v>327.20000000000005</v>
      </c>
      <c r="AE92" s="70">
        <f t="shared" si="47"/>
        <v>2</v>
      </c>
      <c r="AF92" s="70">
        <f t="shared" si="47"/>
        <v>2</v>
      </c>
      <c r="AG92" s="80">
        <f t="shared" si="47"/>
        <v>489.91</v>
      </c>
      <c r="AH92" s="46">
        <f t="shared" si="30"/>
        <v>357.00000000000006</v>
      </c>
      <c r="AI92" s="47">
        <f t="shared" si="31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30</v>
      </c>
      <c r="AE93" s="44"/>
      <c r="AF93" s="44"/>
      <c r="AG93" s="61">
        <v>60</v>
      </c>
      <c r="AH93" s="46">
        <f t="shared" si="30"/>
        <v>30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3">
        <v>14.9</v>
      </c>
      <c r="AE94" s="43"/>
      <c r="AF94" s="43"/>
      <c r="AG94" s="64">
        <v>32</v>
      </c>
      <c r="AH94" s="46">
        <f t="shared" si="30"/>
        <v>14.9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77">
        <v>7</v>
      </c>
      <c r="AE95" s="77"/>
      <c r="AF95" s="77"/>
      <c r="AG95" s="78">
        <v>14</v>
      </c>
      <c r="AH95" s="46">
        <f t="shared" si="30"/>
        <v>7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4">B93+B94+B95</f>
        <v>30</v>
      </c>
      <c r="C96" s="70">
        <f t="shared" si="54"/>
        <v>30</v>
      </c>
      <c r="D96" s="70">
        <f t="shared" ref="B96:AF96" si="55">D93+D94+D95</f>
        <v>30</v>
      </c>
      <c r="E96" s="70">
        <f t="shared" si="55"/>
        <v>24</v>
      </c>
      <c r="F96" s="70">
        <f t="shared" si="55"/>
        <v>24</v>
      </c>
      <c r="G96" s="70">
        <f t="shared" si="55"/>
        <v>30</v>
      </c>
      <c r="H96" s="70">
        <f t="shared" si="55"/>
        <v>30</v>
      </c>
      <c r="I96" s="70">
        <f t="shared" si="55"/>
        <v>45</v>
      </c>
      <c r="J96" s="70">
        <f t="shared" si="55"/>
        <v>16</v>
      </c>
      <c r="K96" s="70">
        <f t="shared" si="55"/>
        <v>16</v>
      </c>
      <c r="L96" s="70">
        <f t="shared" si="55"/>
        <v>51</v>
      </c>
      <c r="M96" s="70">
        <f t="shared" si="55"/>
        <v>51</v>
      </c>
      <c r="N96" s="70">
        <f t="shared" si="55"/>
        <v>51</v>
      </c>
      <c r="O96" s="70">
        <f t="shared" ref="O96" si="56">O93+O94+O95</f>
        <v>51</v>
      </c>
      <c r="P96" s="70">
        <f t="shared" si="55"/>
        <v>51</v>
      </c>
      <c r="Q96" s="70">
        <f t="shared" ref="Q96:R96" si="57">Q93+Q94+Q95</f>
        <v>51</v>
      </c>
      <c r="R96" s="70">
        <f t="shared" si="57"/>
        <v>51</v>
      </c>
      <c r="S96" s="70">
        <f t="shared" ref="S96:T96" si="58">S93+S94+S95</f>
        <v>0</v>
      </c>
      <c r="T96" s="70">
        <f t="shared" si="58"/>
        <v>0</v>
      </c>
      <c r="U96" s="70">
        <f t="shared" si="55"/>
        <v>0</v>
      </c>
      <c r="V96" s="70">
        <f t="shared" ref="V96" si="59">V93+V94+V95</f>
        <v>0</v>
      </c>
      <c r="W96" s="70">
        <f t="shared" si="55"/>
        <v>0</v>
      </c>
      <c r="X96" s="70">
        <f t="shared" si="55"/>
        <v>0</v>
      </c>
      <c r="Y96" s="70">
        <f t="shared" si="55"/>
        <v>0</v>
      </c>
      <c r="Z96" s="70">
        <f t="shared" si="55"/>
        <v>0</v>
      </c>
      <c r="AA96" s="70">
        <f t="shared" si="55"/>
        <v>51.9</v>
      </c>
      <c r="AB96" s="70">
        <f t="shared" ref="AB96:AD96" si="60">AB93+AB94+AB95</f>
        <v>51.9</v>
      </c>
      <c r="AC96" s="70">
        <f t="shared" si="60"/>
        <v>51.9</v>
      </c>
      <c r="AD96" s="70">
        <f t="shared" si="60"/>
        <v>51.9</v>
      </c>
      <c r="AE96" s="70">
        <f t="shared" si="55"/>
        <v>0</v>
      </c>
      <c r="AF96" s="70">
        <f t="shared" si="55"/>
        <v>0</v>
      </c>
      <c r="AG96" s="80">
        <f>SUM(AG93:AG95)</f>
        <v>106</v>
      </c>
      <c r="AH96" s="46">
        <f t="shared" si="30"/>
        <v>51.9</v>
      </c>
      <c r="AI96" s="47">
        <f t="shared" si="31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/>
      <c r="AF97" s="44"/>
      <c r="AG97" s="61"/>
      <c r="AH97" s="46">
        <f t="shared" si="30"/>
        <v>104.3</v>
      </c>
      <c r="AI97" s="47">
        <f t="shared" si="31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/>
      <c r="AF98" s="43"/>
      <c r="AG98" s="64"/>
      <c r="AH98" s="46">
        <f t="shared" si="30"/>
        <v>40.9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/>
      <c r="AF99" s="43"/>
      <c r="AG99" s="89"/>
      <c r="AH99" s="46">
        <f t="shared" si="30"/>
        <v>64.900000000000006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/>
      <c r="AF100" s="93"/>
      <c r="AG100" s="89"/>
      <c r="AH100" s="46">
        <f t="shared" si="30"/>
        <v>21.5</v>
      </c>
      <c r="AI100" s="47">
        <f t="shared" si="31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/>
      <c r="AF101" s="44"/>
      <c r="AG101" s="89"/>
      <c r="AH101" s="46">
        <f t="shared" si="30"/>
        <v>62.3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/>
      <c r="AF102" s="97"/>
      <c r="AG102" s="89"/>
      <c r="AH102" s="46">
        <f t="shared" si="30"/>
        <v>65.5</v>
      </c>
      <c r="AI102" s="47">
        <f t="shared" si="31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1">SUMIF(B97:B107,"&gt;0")</f>
        <v>88.199999999999989</v>
      </c>
      <c r="C108" s="70">
        <f t="shared" si="61"/>
        <v>86.1</v>
      </c>
      <c r="D108" s="70">
        <f t="shared" ref="B108:AF108" si="62">SUMIF(D97:D107,"&gt;0")</f>
        <v>78.3</v>
      </c>
      <c r="E108" s="70">
        <f t="shared" si="62"/>
        <v>64.3</v>
      </c>
      <c r="F108" s="70">
        <f t="shared" si="62"/>
        <v>68.2</v>
      </c>
      <c r="G108" s="70">
        <f t="shared" si="62"/>
        <v>135.9</v>
      </c>
      <c r="H108" s="70">
        <f t="shared" si="62"/>
        <v>140</v>
      </c>
      <c r="I108" s="70">
        <f t="shared" si="62"/>
        <v>142.19999999999999</v>
      </c>
      <c r="J108" s="70">
        <f t="shared" si="62"/>
        <v>140.5</v>
      </c>
      <c r="K108" s="70">
        <f t="shared" si="62"/>
        <v>160.69999999999999</v>
      </c>
      <c r="L108" s="70">
        <f t="shared" si="62"/>
        <v>154</v>
      </c>
      <c r="M108" s="70">
        <f t="shared" si="62"/>
        <v>161.69999999999999</v>
      </c>
      <c r="N108" s="70">
        <f t="shared" si="62"/>
        <v>179.10000000000002</v>
      </c>
      <c r="O108" s="70">
        <f t="shared" si="62"/>
        <v>191.4</v>
      </c>
      <c r="P108" s="70">
        <f t="shared" si="62"/>
        <v>178.8</v>
      </c>
      <c r="Q108" s="70">
        <f t="shared" si="62"/>
        <v>186.7</v>
      </c>
      <c r="R108" s="70">
        <f t="shared" si="62"/>
        <v>186.7</v>
      </c>
      <c r="S108" s="70">
        <f t="shared" ref="S108:T108" si="63">SUMIF(S97:S107,"&gt;0")</f>
        <v>265.60000000000002</v>
      </c>
      <c r="T108" s="70">
        <f t="shared" si="63"/>
        <v>283.7</v>
      </c>
      <c r="U108" s="70">
        <f t="shared" si="62"/>
        <v>291.10000000000002</v>
      </c>
      <c r="V108" s="70">
        <f t="shared" si="62"/>
        <v>192.7</v>
      </c>
      <c r="W108" s="70">
        <f t="shared" si="62"/>
        <v>194.2</v>
      </c>
      <c r="X108" s="70">
        <f t="shared" si="62"/>
        <v>171.6</v>
      </c>
      <c r="Y108" s="70">
        <f t="shared" si="62"/>
        <v>130.48000000000002</v>
      </c>
      <c r="Z108" s="70">
        <f t="shared" si="62"/>
        <v>148.4</v>
      </c>
      <c r="AA108" s="70">
        <f t="shared" si="62"/>
        <v>161.30000000000001</v>
      </c>
      <c r="AB108" s="70">
        <f t="shared" ref="AB108:AD108" si="64">SUMIF(AB97:AB107,"&gt;0")</f>
        <v>99.699999999999989</v>
      </c>
      <c r="AC108" s="70">
        <f t="shared" si="64"/>
        <v>96</v>
      </c>
      <c r="AD108" s="70">
        <f t="shared" si="64"/>
        <v>98.4</v>
      </c>
      <c r="AE108" s="70">
        <f t="shared" si="62"/>
        <v>0</v>
      </c>
      <c r="AF108" s="70">
        <f t="shared" si="62"/>
        <v>0</v>
      </c>
      <c r="AG108" s="104">
        <f>SUM(AG97:AG107)</f>
        <v>0</v>
      </c>
      <c r="AH108" s="46">
        <f t="shared" si="30"/>
        <v>291.10000000000002</v>
      </c>
      <c r="AI108" s="47">
        <f t="shared" si="31"/>
        <v>0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5">B71+B78+B96+B92+B108+B112</f>
        <v>2176.7999999999997</v>
      </c>
      <c r="C113" s="108">
        <f t="shared" si="65"/>
        <v>2051.2999999999997</v>
      </c>
      <c r="D113" s="108">
        <f t="shared" ref="B113:AG113" si="66">D71+D78+D96+D92+D108+D112</f>
        <v>2076.7999999999997</v>
      </c>
      <c r="E113" s="108">
        <f t="shared" si="66"/>
        <v>2080.8999999999996</v>
      </c>
      <c r="F113" s="108">
        <f t="shared" si="66"/>
        <v>2078.7999999999997</v>
      </c>
      <c r="G113" s="108">
        <f t="shared" si="66"/>
        <v>2102.6999999999998</v>
      </c>
      <c r="H113" s="108">
        <f t="shared" si="66"/>
        <v>2083.3999999999996</v>
      </c>
      <c r="I113" s="108">
        <f t="shared" si="66"/>
        <v>2082.5999999999995</v>
      </c>
      <c r="J113" s="108">
        <f t="shared" si="66"/>
        <v>2128.5999999999995</v>
      </c>
      <c r="K113" s="108">
        <f t="shared" si="66"/>
        <v>2148.7999999999997</v>
      </c>
      <c r="L113" s="108">
        <f t="shared" si="66"/>
        <v>2223.1</v>
      </c>
      <c r="M113" s="108">
        <f t="shared" si="66"/>
        <v>2077.9999999999995</v>
      </c>
      <c r="N113" s="108">
        <f t="shared" si="66"/>
        <v>2114.3999999999996</v>
      </c>
      <c r="O113" s="108">
        <f t="shared" si="66"/>
        <v>2154</v>
      </c>
      <c r="P113" s="108">
        <f t="shared" si="66"/>
        <v>2056.6999999999998</v>
      </c>
      <c r="Q113" s="108">
        <f t="shared" si="66"/>
        <v>1944</v>
      </c>
      <c r="R113" s="108">
        <f t="shared" si="66"/>
        <v>1849</v>
      </c>
      <c r="S113" s="108">
        <f t="shared" ref="S113:T113" si="67">S71+S78+S96+S92+S108+S112</f>
        <v>1784.1999999999998</v>
      </c>
      <c r="T113" s="108">
        <f t="shared" si="67"/>
        <v>1818.1999999999998</v>
      </c>
      <c r="U113" s="108">
        <f t="shared" si="66"/>
        <v>1824</v>
      </c>
      <c r="V113" s="108">
        <f t="shared" si="66"/>
        <v>1725.6</v>
      </c>
      <c r="W113" s="108">
        <f t="shared" si="66"/>
        <v>1721.3999999999999</v>
      </c>
      <c r="X113" s="108">
        <f t="shared" si="66"/>
        <v>2047.9999999999998</v>
      </c>
      <c r="Y113" s="108">
        <f t="shared" si="66"/>
        <v>1948.48</v>
      </c>
      <c r="Z113" s="108">
        <f t="shared" si="66"/>
        <v>2161.1799999999998</v>
      </c>
      <c r="AA113" s="108">
        <f t="shared" si="66"/>
        <v>2324.6800000000003</v>
      </c>
      <c r="AB113" s="108">
        <f t="shared" ref="AB113:AD113" si="68">AB71+AB78+AB96+AB92+AB108+AB112</f>
        <v>2185.6800000000003</v>
      </c>
      <c r="AC113" s="108">
        <f t="shared" si="68"/>
        <v>2181.9800000000005</v>
      </c>
      <c r="AD113" s="108">
        <f t="shared" si="68"/>
        <v>2184.3800000000006</v>
      </c>
      <c r="AE113" s="108">
        <f t="shared" si="66"/>
        <v>172</v>
      </c>
      <c r="AF113" s="108">
        <f t="shared" si="66"/>
        <v>172</v>
      </c>
      <c r="AG113" s="80">
        <f t="shared" si="66"/>
        <v>3169.915</v>
      </c>
      <c r="AH113" s="46">
        <f t="shared" si="30"/>
        <v>2324.6800000000003</v>
      </c>
      <c r="AI113" s="47">
        <f t="shared" si="31"/>
        <v>172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0"/>
        <v>60</v>
      </c>
      <c r="AI114" s="47">
        <f t="shared" si="31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69">B113+B114</f>
        <v>2236.7999999999997</v>
      </c>
      <c r="C115" s="108">
        <f t="shared" si="69"/>
        <v>2111.2999999999997</v>
      </c>
      <c r="D115" s="108">
        <f t="shared" ref="C115:AF115" si="70">D113+D114</f>
        <v>2136.7999999999997</v>
      </c>
      <c r="E115" s="108">
        <f t="shared" si="70"/>
        <v>2120.8999999999996</v>
      </c>
      <c r="F115" s="108">
        <f t="shared" si="70"/>
        <v>2118.7999999999997</v>
      </c>
      <c r="G115" s="108">
        <f t="shared" si="70"/>
        <v>2132.6999999999998</v>
      </c>
      <c r="H115" s="108">
        <f t="shared" si="70"/>
        <v>2083.3999999999996</v>
      </c>
      <c r="I115" s="108">
        <f t="shared" si="70"/>
        <v>2082.5999999999995</v>
      </c>
      <c r="J115" s="108">
        <f t="shared" si="70"/>
        <v>2128.5999999999995</v>
      </c>
      <c r="K115" s="108">
        <f t="shared" si="70"/>
        <v>2148.7999999999997</v>
      </c>
      <c r="L115" s="108">
        <f t="shared" si="70"/>
        <v>2223.1</v>
      </c>
      <c r="M115" s="108">
        <f t="shared" si="70"/>
        <v>2077.9999999999995</v>
      </c>
      <c r="N115" s="108">
        <f t="shared" si="70"/>
        <v>2114.3999999999996</v>
      </c>
      <c r="O115" s="108">
        <f t="shared" si="70"/>
        <v>2154</v>
      </c>
      <c r="P115" s="108">
        <f t="shared" si="70"/>
        <v>2056.6999999999998</v>
      </c>
      <c r="Q115" s="108">
        <f t="shared" si="70"/>
        <v>1944</v>
      </c>
      <c r="R115" s="108">
        <f t="shared" si="70"/>
        <v>1849</v>
      </c>
      <c r="S115" s="108">
        <f t="shared" ref="S115:T115" si="71">S113+S114</f>
        <v>1784.1999999999998</v>
      </c>
      <c r="T115" s="108">
        <f t="shared" si="71"/>
        <v>1818.1999999999998</v>
      </c>
      <c r="U115" s="108">
        <f t="shared" si="70"/>
        <v>1824</v>
      </c>
      <c r="V115" s="108">
        <f t="shared" si="70"/>
        <v>1725.6</v>
      </c>
      <c r="W115" s="108">
        <f t="shared" si="70"/>
        <v>1721.3999999999999</v>
      </c>
      <c r="X115" s="108">
        <f t="shared" si="70"/>
        <v>2047.9999999999998</v>
      </c>
      <c r="Y115" s="108">
        <f t="shared" si="70"/>
        <v>1948.48</v>
      </c>
      <c r="Z115" s="108">
        <f t="shared" si="70"/>
        <v>2161.1799999999998</v>
      </c>
      <c r="AA115" s="108">
        <f t="shared" si="70"/>
        <v>2324.6800000000003</v>
      </c>
      <c r="AB115" s="108">
        <f t="shared" ref="AB115:AD115" si="72">AB113+AB114</f>
        <v>2185.6800000000003</v>
      </c>
      <c r="AC115" s="108">
        <f t="shared" si="72"/>
        <v>2181.9800000000005</v>
      </c>
      <c r="AD115" s="108">
        <f t="shared" si="72"/>
        <v>2184.3800000000006</v>
      </c>
      <c r="AE115" s="108">
        <f t="shared" si="70"/>
        <v>172</v>
      </c>
      <c r="AF115" s="108">
        <f t="shared" si="70"/>
        <v>172</v>
      </c>
      <c r="AG115" s="104">
        <f>AG112+AG108+AG96+AG92+AG71+AG114</f>
        <v>2463.5149999999999</v>
      </c>
      <c r="AH115" s="46">
        <f t="shared" si="30"/>
        <v>2324.6800000000003</v>
      </c>
      <c r="AI115" s="47">
        <f t="shared" si="31"/>
        <v>172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3">B115-(B123)</f>
        <v>1707.5999999999997</v>
      </c>
      <c r="C116" s="108">
        <f t="shared" si="73"/>
        <v>1665.8999999999996</v>
      </c>
      <c r="D116" s="108">
        <f t="shared" ref="C116:AF116" si="74">D115-(D123)</f>
        <v>1641.7999999999997</v>
      </c>
      <c r="E116" s="108">
        <f t="shared" si="74"/>
        <v>1611.3999999999996</v>
      </c>
      <c r="F116" s="108">
        <f t="shared" si="74"/>
        <v>1586.3999999999996</v>
      </c>
      <c r="G116" s="108">
        <f t="shared" si="74"/>
        <v>1591.6999999999998</v>
      </c>
      <c r="H116" s="108">
        <f t="shared" si="74"/>
        <v>1574.3999999999996</v>
      </c>
      <c r="I116" s="108">
        <f t="shared" si="74"/>
        <v>1571.6999999999994</v>
      </c>
      <c r="J116" s="108">
        <f t="shared" si="74"/>
        <v>1632.5999999999995</v>
      </c>
      <c r="K116" s="108">
        <f t="shared" si="74"/>
        <v>1695.7999999999997</v>
      </c>
      <c r="L116" s="108">
        <f t="shared" si="74"/>
        <v>1818.1</v>
      </c>
      <c r="M116" s="108">
        <f t="shared" si="74"/>
        <v>1715.9999999999995</v>
      </c>
      <c r="N116" s="108">
        <f t="shared" si="74"/>
        <v>1796.3999999999996</v>
      </c>
      <c r="O116" s="108">
        <f t="shared" si="74"/>
        <v>1798</v>
      </c>
      <c r="P116" s="108">
        <f t="shared" si="74"/>
        <v>1775.6999999999998</v>
      </c>
      <c r="Q116" s="108">
        <f t="shared" si="74"/>
        <v>1787</v>
      </c>
      <c r="R116" s="108">
        <f t="shared" si="74"/>
        <v>1692</v>
      </c>
      <c r="S116" s="108">
        <f t="shared" ref="S116:T116" si="75">S115-(S123)</f>
        <v>1784.1999999999998</v>
      </c>
      <c r="T116" s="108">
        <f t="shared" si="75"/>
        <v>1818.1999999999998</v>
      </c>
      <c r="U116" s="108">
        <f t="shared" si="74"/>
        <v>1824</v>
      </c>
      <c r="V116" s="108">
        <f t="shared" si="74"/>
        <v>1402.3</v>
      </c>
      <c r="W116" s="108">
        <f t="shared" si="74"/>
        <v>1401.1</v>
      </c>
      <c r="X116" s="108">
        <f t="shared" si="74"/>
        <v>1747.9999999999998</v>
      </c>
      <c r="Y116" s="108">
        <f t="shared" si="74"/>
        <v>1679.98</v>
      </c>
      <c r="Z116" s="108">
        <f t="shared" si="74"/>
        <v>1907.08</v>
      </c>
      <c r="AA116" s="108">
        <f t="shared" si="74"/>
        <v>2038.5800000000004</v>
      </c>
      <c r="AB116" s="108">
        <f t="shared" ref="AB116:AD116" si="76">AB115-(AB123)</f>
        <v>1911.6800000000003</v>
      </c>
      <c r="AC116" s="108">
        <f t="shared" si="76"/>
        <v>1811.9800000000005</v>
      </c>
      <c r="AD116" s="108">
        <f t="shared" si="76"/>
        <v>1804.3800000000006</v>
      </c>
      <c r="AE116" s="108">
        <f t="shared" si="74"/>
        <v>172</v>
      </c>
      <c r="AF116" s="108">
        <f t="shared" si="74"/>
        <v>172</v>
      </c>
      <c r="AG116" s="104"/>
      <c r="AH116" s="46">
        <f t="shared" si="30"/>
        <v>2038.5800000000004</v>
      </c>
      <c r="AI116" s="47">
        <f t="shared" si="31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77">IF(B97&lt;0,B97*-1,0)</f>
        <v>529.20000000000005</v>
      </c>
      <c r="C117" s="93">
        <f t="shared" si="77"/>
        <v>445.4</v>
      </c>
      <c r="D117" s="93">
        <f t="shared" ref="B117:AF122" si="78">IF(D97&lt;0,D97*-1,0)</f>
        <v>495</v>
      </c>
      <c r="E117" s="93">
        <f t="shared" si="78"/>
        <v>509.5</v>
      </c>
      <c r="F117" s="93">
        <f t="shared" si="78"/>
        <v>532.4</v>
      </c>
      <c r="G117" s="93">
        <f t="shared" si="78"/>
        <v>541</v>
      </c>
      <c r="H117" s="93">
        <f t="shared" si="78"/>
        <v>509</v>
      </c>
      <c r="I117" s="93">
        <f t="shared" si="78"/>
        <v>510.9</v>
      </c>
      <c r="J117" s="93">
        <f t="shared" si="78"/>
        <v>496</v>
      </c>
      <c r="K117" s="93">
        <f t="shared" si="78"/>
        <v>453</v>
      </c>
      <c r="L117" s="93">
        <f t="shared" si="78"/>
        <v>405</v>
      </c>
      <c r="M117" s="93">
        <f t="shared" si="78"/>
        <v>362</v>
      </c>
      <c r="N117" s="93">
        <f t="shared" si="78"/>
        <v>318</v>
      </c>
      <c r="O117" s="93">
        <f t="shared" si="78"/>
        <v>356</v>
      </c>
      <c r="P117" s="93">
        <f t="shared" si="78"/>
        <v>281</v>
      </c>
      <c r="Q117" s="93">
        <f t="shared" si="78"/>
        <v>157</v>
      </c>
      <c r="R117" s="93">
        <f t="shared" si="78"/>
        <v>157</v>
      </c>
      <c r="S117" s="93">
        <f t="shared" ref="S117:T117" si="79">IF(S97&lt;0,S97*-1,0)</f>
        <v>0</v>
      </c>
      <c r="T117" s="93">
        <f t="shared" si="79"/>
        <v>0</v>
      </c>
      <c r="U117" s="93">
        <f t="shared" si="78"/>
        <v>0</v>
      </c>
      <c r="V117" s="93">
        <f t="shared" si="78"/>
        <v>323.3</v>
      </c>
      <c r="W117" s="93">
        <f t="shared" si="78"/>
        <v>320.3</v>
      </c>
      <c r="X117" s="93">
        <f t="shared" si="78"/>
        <v>300</v>
      </c>
      <c r="Y117" s="93">
        <f t="shared" si="78"/>
        <v>268.5</v>
      </c>
      <c r="Z117" s="93">
        <f t="shared" si="78"/>
        <v>254.1</v>
      </c>
      <c r="AA117" s="93">
        <f t="shared" si="78"/>
        <v>286.10000000000002</v>
      </c>
      <c r="AB117" s="93">
        <f t="shared" ref="AB117:AD117" si="80">IF(AB97&lt;0,AB97*-1,0)</f>
        <v>274</v>
      </c>
      <c r="AC117" s="93">
        <f t="shared" si="80"/>
        <v>370</v>
      </c>
      <c r="AD117" s="93">
        <f t="shared" si="80"/>
        <v>380</v>
      </c>
      <c r="AE117" s="93">
        <f t="shared" si="78"/>
        <v>0</v>
      </c>
      <c r="AF117" s="93">
        <f t="shared" si="78"/>
        <v>0</v>
      </c>
      <c r="AG117" s="61"/>
      <c r="AH117" s="46">
        <f t="shared" si="30"/>
        <v>541</v>
      </c>
      <c r="AI117" s="47">
        <f t="shared" si="31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77"/>
        <v>0</v>
      </c>
      <c r="C118" s="93">
        <f t="shared" si="77"/>
        <v>0</v>
      </c>
      <c r="D118" s="93">
        <f t="shared" si="78"/>
        <v>0</v>
      </c>
      <c r="E118" s="93">
        <f t="shared" si="78"/>
        <v>0</v>
      </c>
      <c r="F118" s="93">
        <f t="shared" si="78"/>
        <v>0</v>
      </c>
      <c r="G118" s="93">
        <f t="shared" si="78"/>
        <v>0</v>
      </c>
      <c r="H118" s="93">
        <f t="shared" si="78"/>
        <v>0</v>
      </c>
      <c r="I118" s="93">
        <f t="shared" si="78"/>
        <v>0</v>
      </c>
      <c r="J118" s="93">
        <f t="shared" si="78"/>
        <v>0</v>
      </c>
      <c r="K118" s="93">
        <f t="shared" si="78"/>
        <v>0</v>
      </c>
      <c r="L118" s="93">
        <f t="shared" si="78"/>
        <v>0</v>
      </c>
      <c r="M118" s="93">
        <f t="shared" si="78"/>
        <v>0</v>
      </c>
      <c r="N118" s="93">
        <f t="shared" si="78"/>
        <v>0</v>
      </c>
      <c r="O118" s="93">
        <f t="shared" si="78"/>
        <v>0</v>
      </c>
      <c r="P118" s="93">
        <f t="shared" si="78"/>
        <v>0</v>
      </c>
      <c r="Q118" s="93">
        <f t="shared" si="78"/>
        <v>0</v>
      </c>
      <c r="R118" s="93">
        <f t="shared" si="78"/>
        <v>0</v>
      </c>
      <c r="S118" s="93">
        <f t="shared" ref="S118:T118" si="81">IF(S98&lt;0,S98*-1,0)</f>
        <v>0</v>
      </c>
      <c r="T118" s="93">
        <f t="shared" si="81"/>
        <v>0</v>
      </c>
      <c r="U118" s="93">
        <f t="shared" si="78"/>
        <v>0</v>
      </c>
      <c r="V118" s="93">
        <f t="shared" si="78"/>
        <v>0</v>
      </c>
      <c r="W118" s="93">
        <f t="shared" si="78"/>
        <v>0</v>
      </c>
      <c r="X118" s="93">
        <f t="shared" si="78"/>
        <v>0</v>
      </c>
      <c r="Y118" s="93">
        <f t="shared" si="78"/>
        <v>0</v>
      </c>
      <c r="Z118" s="93">
        <f t="shared" si="78"/>
        <v>0</v>
      </c>
      <c r="AA118" s="93">
        <f t="shared" si="78"/>
        <v>0</v>
      </c>
      <c r="AB118" s="93">
        <f t="shared" ref="AB118:AD118" si="82">IF(AB98&lt;0,AB98*-1,0)</f>
        <v>0</v>
      </c>
      <c r="AC118" s="93">
        <f t="shared" si="82"/>
        <v>0</v>
      </c>
      <c r="AD118" s="93">
        <f t="shared" si="82"/>
        <v>0</v>
      </c>
      <c r="AE118" s="93">
        <f t="shared" si="78"/>
        <v>0</v>
      </c>
      <c r="AF118" s="93">
        <f t="shared" si="78"/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77"/>
        <v>0</v>
      </c>
      <c r="C119" s="93">
        <f t="shared" si="77"/>
        <v>0</v>
      </c>
      <c r="D119" s="93">
        <f t="shared" si="78"/>
        <v>0</v>
      </c>
      <c r="E119" s="93">
        <f t="shared" si="78"/>
        <v>0</v>
      </c>
      <c r="F119" s="93">
        <f t="shared" si="78"/>
        <v>0</v>
      </c>
      <c r="G119" s="93">
        <f t="shared" si="78"/>
        <v>0</v>
      </c>
      <c r="H119" s="93">
        <f t="shared" si="78"/>
        <v>0</v>
      </c>
      <c r="I119" s="93">
        <f t="shared" si="78"/>
        <v>0</v>
      </c>
      <c r="J119" s="93">
        <f t="shared" si="78"/>
        <v>0</v>
      </c>
      <c r="K119" s="93">
        <f t="shared" si="78"/>
        <v>0</v>
      </c>
      <c r="L119" s="93">
        <f t="shared" si="78"/>
        <v>0</v>
      </c>
      <c r="M119" s="93">
        <f t="shared" si="78"/>
        <v>0</v>
      </c>
      <c r="N119" s="93">
        <f t="shared" si="78"/>
        <v>0</v>
      </c>
      <c r="O119" s="93">
        <f t="shared" si="78"/>
        <v>0</v>
      </c>
      <c r="P119" s="93">
        <f t="shared" si="78"/>
        <v>0</v>
      </c>
      <c r="Q119" s="93">
        <f t="shared" si="78"/>
        <v>0</v>
      </c>
      <c r="R119" s="93">
        <f t="shared" si="78"/>
        <v>0</v>
      </c>
      <c r="S119" s="93">
        <f t="shared" ref="S119:T119" si="83">IF(S99&lt;0,S99*-1,0)</f>
        <v>0</v>
      </c>
      <c r="T119" s="93">
        <f t="shared" si="83"/>
        <v>0</v>
      </c>
      <c r="U119" s="93">
        <f t="shared" si="78"/>
        <v>0</v>
      </c>
      <c r="V119" s="93">
        <f t="shared" si="78"/>
        <v>0</v>
      </c>
      <c r="W119" s="93">
        <f t="shared" si="78"/>
        <v>0</v>
      </c>
      <c r="X119" s="93">
        <f t="shared" si="78"/>
        <v>0</v>
      </c>
      <c r="Y119" s="93">
        <f t="shared" si="78"/>
        <v>0</v>
      </c>
      <c r="Z119" s="93">
        <f t="shared" si="78"/>
        <v>0</v>
      </c>
      <c r="AA119" s="93">
        <f t="shared" si="78"/>
        <v>0</v>
      </c>
      <c r="AB119" s="93">
        <f t="shared" ref="AB119:AD119" si="84">IF(AB99&lt;0,AB99*-1,0)</f>
        <v>0</v>
      </c>
      <c r="AC119" s="93">
        <f t="shared" si="84"/>
        <v>0</v>
      </c>
      <c r="AD119" s="93">
        <f t="shared" si="84"/>
        <v>0</v>
      </c>
      <c r="AE119" s="93">
        <f t="shared" si="78"/>
        <v>0</v>
      </c>
      <c r="AF119" s="93">
        <f t="shared" si="78"/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77"/>
        <v>0</v>
      </c>
      <c r="C120" s="93">
        <f t="shared" si="77"/>
        <v>0</v>
      </c>
      <c r="D120" s="93">
        <f t="shared" si="78"/>
        <v>0</v>
      </c>
      <c r="E120" s="93">
        <f t="shared" si="78"/>
        <v>0</v>
      </c>
      <c r="F120" s="93">
        <f t="shared" si="78"/>
        <v>0</v>
      </c>
      <c r="G120" s="93">
        <f t="shared" si="78"/>
        <v>0</v>
      </c>
      <c r="H120" s="93">
        <f t="shared" si="78"/>
        <v>0</v>
      </c>
      <c r="I120" s="93">
        <f t="shared" si="78"/>
        <v>0</v>
      </c>
      <c r="J120" s="93">
        <f t="shared" si="78"/>
        <v>0</v>
      </c>
      <c r="K120" s="93">
        <f t="shared" si="78"/>
        <v>0</v>
      </c>
      <c r="L120" s="93">
        <f t="shared" si="78"/>
        <v>0</v>
      </c>
      <c r="M120" s="93">
        <f t="shared" si="78"/>
        <v>0</v>
      </c>
      <c r="N120" s="93">
        <f t="shared" si="78"/>
        <v>0</v>
      </c>
      <c r="O120" s="93">
        <f t="shared" si="78"/>
        <v>0</v>
      </c>
      <c r="P120" s="93">
        <f t="shared" si="78"/>
        <v>0</v>
      </c>
      <c r="Q120" s="93">
        <f t="shared" si="78"/>
        <v>0</v>
      </c>
      <c r="R120" s="93">
        <f t="shared" si="78"/>
        <v>0</v>
      </c>
      <c r="S120" s="93">
        <f t="shared" ref="S120:T120" si="85">IF(S100&lt;0,S100*-1,0)</f>
        <v>0</v>
      </c>
      <c r="T120" s="93">
        <f t="shared" si="85"/>
        <v>0</v>
      </c>
      <c r="U120" s="93">
        <f t="shared" si="78"/>
        <v>0</v>
      </c>
      <c r="V120" s="93">
        <f t="shared" si="78"/>
        <v>0</v>
      </c>
      <c r="W120" s="93">
        <f t="shared" si="78"/>
        <v>0</v>
      </c>
      <c r="X120" s="93">
        <f t="shared" si="78"/>
        <v>0</v>
      </c>
      <c r="Y120" s="93">
        <f t="shared" si="78"/>
        <v>0</v>
      </c>
      <c r="Z120" s="93">
        <f t="shared" si="78"/>
        <v>0</v>
      </c>
      <c r="AA120" s="93">
        <f t="shared" si="78"/>
        <v>0</v>
      </c>
      <c r="AB120" s="93">
        <f t="shared" ref="AB120:AD120" si="86">IF(AB100&lt;0,AB100*-1,0)</f>
        <v>0</v>
      </c>
      <c r="AC120" s="93">
        <f t="shared" si="86"/>
        <v>0</v>
      </c>
      <c r="AD120" s="93">
        <f t="shared" si="86"/>
        <v>0</v>
      </c>
      <c r="AE120" s="93">
        <f t="shared" si="78"/>
        <v>0</v>
      </c>
      <c r="AF120" s="93">
        <f t="shared" si="78"/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77"/>
        <v>0</v>
      </c>
      <c r="C121" s="93">
        <f t="shared" si="77"/>
        <v>0</v>
      </c>
      <c r="D121" s="93">
        <f t="shared" si="78"/>
        <v>0</v>
      </c>
      <c r="E121" s="93">
        <f t="shared" si="78"/>
        <v>0</v>
      </c>
      <c r="F121" s="93">
        <f t="shared" si="78"/>
        <v>0</v>
      </c>
      <c r="G121" s="93">
        <f t="shared" si="78"/>
        <v>0</v>
      </c>
      <c r="H121" s="93">
        <f t="shared" si="78"/>
        <v>0</v>
      </c>
      <c r="I121" s="93">
        <f t="shared" si="78"/>
        <v>0</v>
      </c>
      <c r="J121" s="93">
        <f t="shared" si="78"/>
        <v>0</v>
      </c>
      <c r="K121" s="93">
        <f t="shared" si="78"/>
        <v>0</v>
      </c>
      <c r="L121" s="93">
        <f t="shared" si="78"/>
        <v>0</v>
      </c>
      <c r="M121" s="93">
        <f t="shared" si="78"/>
        <v>0</v>
      </c>
      <c r="N121" s="93">
        <f t="shared" si="78"/>
        <v>0</v>
      </c>
      <c r="O121" s="93">
        <f t="shared" si="78"/>
        <v>0</v>
      </c>
      <c r="P121" s="93">
        <f t="shared" si="78"/>
        <v>0</v>
      </c>
      <c r="Q121" s="93">
        <f t="shared" si="78"/>
        <v>0</v>
      </c>
      <c r="R121" s="93">
        <f t="shared" si="78"/>
        <v>0</v>
      </c>
      <c r="S121" s="93">
        <f t="shared" ref="S121:T121" si="87">IF(S101&lt;0,S101*-1,0)</f>
        <v>0</v>
      </c>
      <c r="T121" s="93">
        <f t="shared" si="87"/>
        <v>0</v>
      </c>
      <c r="U121" s="93">
        <f t="shared" si="78"/>
        <v>0</v>
      </c>
      <c r="V121" s="93">
        <f t="shared" si="78"/>
        <v>0</v>
      </c>
      <c r="W121" s="93">
        <f t="shared" si="78"/>
        <v>0</v>
      </c>
      <c r="X121" s="93">
        <f t="shared" si="78"/>
        <v>0</v>
      </c>
      <c r="Y121" s="93">
        <f t="shared" si="78"/>
        <v>0</v>
      </c>
      <c r="Z121" s="93">
        <f t="shared" si="78"/>
        <v>0</v>
      </c>
      <c r="AA121" s="93">
        <f t="shared" si="78"/>
        <v>0</v>
      </c>
      <c r="AB121" s="93">
        <f t="shared" ref="AB121:AD121" si="88">IF(AB101&lt;0,AB101*-1,0)</f>
        <v>0</v>
      </c>
      <c r="AC121" s="93">
        <f t="shared" si="88"/>
        <v>0</v>
      </c>
      <c r="AD121" s="93">
        <f t="shared" si="88"/>
        <v>0</v>
      </c>
      <c r="AE121" s="93">
        <f t="shared" si="78"/>
        <v>0</v>
      </c>
      <c r="AF121" s="93">
        <f t="shared" si="78"/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77"/>
        <v>0</v>
      </c>
      <c r="C122" s="93">
        <f t="shared" si="77"/>
        <v>0</v>
      </c>
      <c r="D122" s="93">
        <f t="shared" si="78"/>
        <v>0</v>
      </c>
      <c r="E122" s="93">
        <f t="shared" si="78"/>
        <v>0</v>
      </c>
      <c r="F122" s="93">
        <f t="shared" si="78"/>
        <v>0</v>
      </c>
      <c r="G122" s="93">
        <f t="shared" si="78"/>
        <v>0</v>
      </c>
      <c r="H122" s="93">
        <f t="shared" si="78"/>
        <v>0</v>
      </c>
      <c r="I122" s="93">
        <f t="shared" si="78"/>
        <v>0</v>
      </c>
      <c r="J122" s="93">
        <f t="shared" si="78"/>
        <v>0</v>
      </c>
      <c r="K122" s="93">
        <f t="shared" si="78"/>
        <v>0</v>
      </c>
      <c r="L122" s="93">
        <f t="shared" si="78"/>
        <v>0</v>
      </c>
      <c r="M122" s="93">
        <f t="shared" si="78"/>
        <v>0</v>
      </c>
      <c r="N122" s="93">
        <f t="shared" si="78"/>
        <v>0</v>
      </c>
      <c r="O122" s="93">
        <f t="shared" si="78"/>
        <v>0</v>
      </c>
      <c r="P122" s="93">
        <f t="shared" si="78"/>
        <v>0</v>
      </c>
      <c r="Q122" s="93">
        <f t="shared" si="78"/>
        <v>0</v>
      </c>
      <c r="R122" s="93">
        <f t="shared" si="78"/>
        <v>0</v>
      </c>
      <c r="S122" s="93">
        <f t="shared" ref="S122:T122" si="89">IF(S102&lt;0,S102*-1,0)</f>
        <v>0</v>
      </c>
      <c r="T122" s="93">
        <f t="shared" si="89"/>
        <v>0</v>
      </c>
      <c r="U122" s="93">
        <f t="shared" si="78"/>
        <v>0</v>
      </c>
      <c r="V122" s="93">
        <f t="shared" si="78"/>
        <v>0</v>
      </c>
      <c r="W122" s="93">
        <f t="shared" si="78"/>
        <v>0</v>
      </c>
      <c r="X122" s="93">
        <f t="shared" si="78"/>
        <v>0</v>
      </c>
      <c r="Y122" s="93">
        <f t="shared" si="78"/>
        <v>0</v>
      </c>
      <c r="Z122" s="93">
        <f t="shared" si="78"/>
        <v>0</v>
      </c>
      <c r="AA122" s="93">
        <f t="shared" si="78"/>
        <v>0</v>
      </c>
      <c r="AB122" s="93">
        <f t="shared" ref="AB122:AD122" si="90">IF(AB102&lt;0,AB102*-1,0)</f>
        <v>0</v>
      </c>
      <c r="AC122" s="93">
        <f t="shared" si="90"/>
        <v>0</v>
      </c>
      <c r="AD122" s="93">
        <f t="shared" si="90"/>
        <v>0</v>
      </c>
      <c r="AE122" s="93">
        <f t="shared" si="78"/>
        <v>0</v>
      </c>
      <c r="AF122" s="93">
        <f t="shared" si="78"/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91">SUM(B117:B122)</f>
        <v>529.20000000000005</v>
      </c>
      <c r="C123" s="70">
        <f t="shared" si="91"/>
        <v>445.4</v>
      </c>
      <c r="D123" s="70">
        <f t="shared" ref="B123:AF123" si="92">SUM(D117:D122)</f>
        <v>495</v>
      </c>
      <c r="E123" s="70">
        <f t="shared" si="92"/>
        <v>509.5</v>
      </c>
      <c r="F123" s="70">
        <f t="shared" si="92"/>
        <v>532.4</v>
      </c>
      <c r="G123" s="70">
        <f t="shared" si="92"/>
        <v>541</v>
      </c>
      <c r="H123" s="70">
        <f t="shared" si="92"/>
        <v>509</v>
      </c>
      <c r="I123" s="70">
        <f t="shared" si="92"/>
        <v>510.9</v>
      </c>
      <c r="J123" s="70">
        <f t="shared" si="92"/>
        <v>496</v>
      </c>
      <c r="K123" s="70">
        <f t="shared" si="92"/>
        <v>453</v>
      </c>
      <c r="L123" s="70">
        <f t="shared" si="92"/>
        <v>405</v>
      </c>
      <c r="M123" s="70">
        <f t="shared" si="92"/>
        <v>362</v>
      </c>
      <c r="N123" s="70">
        <f t="shared" si="92"/>
        <v>318</v>
      </c>
      <c r="O123" s="70">
        <f t="shared" si="92"/>
        <v>356</v>
      </c>
      <c r="P123" s="70">
        <f t="shared" si="92"/>
        <v>281</v>
      </c>
      <c r="Q123" s="70">
        <f t="shared" si="92"/>
        <v>157</v>
      </c>
      <c r="R123" s="70">
        <f t="shared" si="92"/>
        <v>157</v>
      </c>
      <c r="S123" s="70">
        <f t="shared" ref="S123:T123" si="93">SUM(S117:S122)</f>
        <v>0</v>
      </c>
      <c r="T123" s="70">
        <f t="shared" si="93"/>
        <v>0</v>
      </c>
      <c r="U123" s="70">
        <f t="shared" si="92"/>
        <v>0</v>
      </c>
      <c r="V123" s="70">
        <f t="shared" si="92"/>
        <v>323.3</v>
      </c>
      <c r="W123" s="70">
        <f t="shared" si="92"/>
        <v>320.3</v>
      </c>
      <c r="X123" s="70">
        <f t="shared" si="92"/>
        <v>300</v>
      </c>
      <c r="Y123" s="70">
        <f t="shared" si="92"/>
        <v>268.5</v>
      </c>
      <c r="Z123" s="70">
        <f t="shared" si="92"/>
        <v>254.1</v>
      </c>
      <c r="AA123" s="70">
        <f t="shared" si="92"/>
        <v>286.10000000000002</v>
      </c>
      <c r="AB123" s="70">
        <f t="shared" ref="AB123:AD123" si="94">SUM(AB117:AB122)</f>
        <v>274</v>
      </c>
      <c r="AC123" s="70">
        <f t="shared" si="94"/>
        <v>370</v>
      </c>
      <c r="AD123" s="70">
        <f t="shared" si="94"/>
        <v>380</v>
      </c>
      <c r="AE123" s="70">
        <f t="shared" si="92"/>
        <v>0</v>
      </c>
      <c r="AF123" s="70">
        <f t="shared" si="92"/>
        <v>0</v>
      </c>
      <c r="AG123" s="104"/>
      <c r="AH123" s="46">
        <f t="shared" si="30"/>
        <v>541</v>
      </c>
      <c r="AI123" s="47">
        <f t="shared" si="31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95">B108-B123</f>
        <v>-441.00000000000006</v>
      </c>
      <c r="C124" s="70">
        <f t="shared" si="95"/>
        <v>-359.29999999999995</v>
      </c>
      <c r="D124" s="70">
        <f t="shared" ref="B124:AF124" si="96">D108-D123</f>
        <v>-416.7</v>
      </c>
      <c r="E124" s="70">
        <f t="shared" si="96"/>
        <v>-445.2</v>
      </c>
      <c r="F124" s="70">
        <f t="shared" si="96"/>
        <v>-464.2</v>
      </c>
      <c r="G124" s="70">
        <f t="shared" si="96"/>
        <v>-405.1</v>
      </c>
      <c r="H124" s="70">
        <f t="shared" si="96"/>
        <v>-369</v>
      </c>
      <c r="I124" s="70">
        <f t="shared" si="96"/>
        <v>-368.7</v>
      </c>
      <c r="J124" s="70">
        <f t="shared" si="96"/>
        <v>-355.5</v>
      </c>
      <c r="K124" s="70">
        <f t="shared" si="96"/>
        <v>-292.3</v>
      </c>
      <c r="L124" s="70">
        <f t="shared" si="96"/>
        <v>-251</v>
      </c>
      <c r="M124" s="70">
        <f t="shared" si="96"/>
        <v>-200.3</v>
      </c>
      <c r="N124" s="70">
        <f t="shared" si="96"/>
        <v>-138.89999999999998</v>
      </c>
      <c r="O124" s="70">
        <f t="shared" si="96"/>
        <v>-164.6</v>
      </c>
      <c r="P124" s="70">
        <f t="shared" si="96"/>
        <v>-102.19999999999999</v>
      </c>
      <c r="Q124" s="70">
        <f t="shared" si="96"/>
        <v>29.699999999999989</v>
      </c>
      <c r="R124" s="70">
        <f t="shared" si="96"/>
        <v>29.699999999999989</v>
      </c>
      <c r="S124" s="70">
        <f t="shared" ref="S124:T124" si="97">S108-S123</f>
        <v>265.60000000000002</v>
      </c>
      <c r="T124" s="70">
        <f t="shared" si="97"/>
        <v>283.7</v>
      </c>
      <c r="U124" s="70">
        <f t="shared" si="96"/>
        <v>291.10000000000002</v>
      </c>
      <c r="V124" s="70">
        <f t="shared" si="96"/>
        <v>-130.60000000000002</v>
      </c>
      <c r="W124" s="70">
        <f t="shared" si="96"/>
        <v>-126.10000000000002</v>
      </c>
      <c r="X124" s="70">
        <f t="shared" si="96"/>
        <v>-128.4</v>
      </c>
      <c r="Y124" s="70">
        <f t="shared" si="96"/>
        <v>-138.01999999999998</v>
      </c>
      <c r="Z124" s="70">
        <f t="shared" si="96"/>
        <v>-105.69999999999999</v>
      </c>
      <c r="AA124" s="70">
        <f t="shared" si="96"/>
        <v>-124.80000000000001</v>
      </c>
      <c r="AB124" s="70">
        <f t="shared" ref="AB124:AD124" si="98">AB108-AB123</f>
        <v>-174.3</v>
      </c>
      <c r="AC124" s="70">
        <f t="shared" si="98"/>
        <v>-274</v>
      </c>
      <c r="AD124" s="70">
        <f t="shared" si="98"/>
        <v>-281.60000000000002</v>
      </c>
      <c r="AE124" s="70">
        <f t="shared" si="96"/>
        <v>0</v>
      </c>
      <c r="AF124" s="70">
        <f t="shared" si="96"/>
        <v>0</v>
      </c>
      <c r="AG124" s="104"/>
      <c r="AH124" s="46">
        <f t="shared" si="30"/>
        <v>291.10000000000002</v>
      </c>
      <c r="AI124" s="47">
        <f t="shared" si="31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49.97</v>
      </c>
      <c r="AF126" s="117"/>
      <c r="AG126" s="118"/>
      <c r="AH126" s="46">
        <f t="shared" si="30"/>
        <v>50.1</v>
      </c>
      <c r="AI126" s="47">
        <f t="shared" si="31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/>
      <c r="AG127" s="120"/>
      <c r="AH127" s="46">
        <f t="shared" si="30"/>
        <v>133.9</v>
      </c>
      <c r="AI127" s="47">
        <f t="shared" si="31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/>
      <c r="AG128" s="120"/>
      <c r="AH128" s="46">
        <f t="shared" si="30"/>
        <v>131.80000000000001</v>
      </c>
      <c r="AI128" s="47">
        <f t="shared" si="31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/>
      <c r="AG130" s="120"/>
      <c r="AH130" s="46">
        <f t="shared" si="30"/>
        <v>136.69999999999999</v>
      </c>
      <c r="AI130" s="47">
        <f t="shared" si="31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0"/>
        <v>0</v>
      </c>
      <c r="AI131" s="47">
        <f t="shared" si="31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/>
      <c r="AG132" s="120"/>
      <c r="AH132" s="46">
        <f t="shared" si="30"/>
        <v>134.19999999999999</v>
      </c>
      <c r="AI132" s="47">
        <f t="shared" si="31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/>
      <c r="AG133" s="124"/>
      <c r="AH133" s="46">
        <f t="shared" si="30"/>
        <v>67.400000000000006</v>
      </c>
      <c r="AI133" s="47">
        <f t="shared" si="31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99">SUM(B26,B32,B45:B46,B82,B84:B85,B87,B89,B137:B142,B177,B183,B189,B198,B200,B212,B219,B222:B223,B230,B232,B234,B238:B240,B242:B244,B249,B255:B256,B258:B260,B161,B166)</f>
        <v>169.54</v>
      </c>
      <c r="C135" s="114">
        <f t="shared" si="99"/>
        <v>161.53999999999994</v>
      </c>
      <c r="D135" s="114">
        <f t="shared" ref="C135:O135" si="100">SUM(D26,D32,D45:D46,D82,D84:D85,D87,D89,D137:D142,D177,D183,D189,D198,D200,D212,D219,D222:D223,D230,D232,D234,D238:D240,D242:D244,D249,D255:D256,D258:D260,D161,D166)</f>
        <v>143.43999999999997</v>
      </c>
      <c r="E135" s="114">
        <f t="shared" si="100"/>
        <v>143.13999999999993</v>
      </c>
      <c r="F135" s="114">
        <f t="shared" si="100"/>
        <v>144.44</v>
      </c>
      <c r="G135" s="114">
        <f t="shared" si="100"/>
        <v>162.33999999999997</v>
      </c>
      <c r="H135" s="114">
        <f t="shared" si="100"/>
        <v>197.74</v>
      </c>
      <c r="I135" s="114">
        <f t="shared" si="100"/>
        <v>217.44</v>
      </c>
      <c r="J135" s="114">
        <f t="shared" si="100"/>
        <v>266.94</v>
      </c>
      <c r="K135" s="114">
        <f t="shared" si="100"/>
        <v>282.33999999999997</v>
      </c>
      <c r="L135" s="114">
        <f t="shared" si="100"/>
        <v>326.44</v>
      </c>
      <c r="M135" s="114">
        <f t="shared" si="100"/>
        <v>311.14</v>
      </c>
      <c r="N135" s="114">
        <f t="shared" si="100"/>
        <v>285.64000000000004</v>
      </c>
      <c r="O135" s="114">
        <f t="shared" si="100"/>
        <v>289.94</v>
      </c>
      <c r="P135" s="114">
        <v>42</v>
      </c>
      <c r="Q135" s="114">
        <f t="shared" ref="Q135:X135" si="101">SUM(Q26,Q32,Q45:Q46,Q82,Q84:Q85,Q87,Q89,Q137:Q142,Q177,Q183,Q189,Q198,Q200,Q212,Q219,Q222:Q223,Q230,Q232,Q234,Q238:Q240,Q242:Q244,Q249,Q255:Q256,Q258:Q260,Q161,Q166)</f>
        <v>263.24</v>
      </c>
      <c r="R135" s="114">
        <f t="shared" si="101"/>
        <v>160.24</v>
      </c>
      <c r="S135" s="114">
        <f t="shared" ref="S135:T135" si="102">SUM(S26,S32,S45:S46,S82,S84:S85,S87,S89,S137:S142,S177,S183,S189,S198,S200,S212,S219,S222:S223,S230,S232,S234,S238:S240,S242:S244,S249,S255:S256,S258:S260,S161,S166)</f>
        <v>254.94</v>
      </c>
      <c r="T135" s="114">
        <f t="shared" si="102"/>
        <v>249.94000000000005</v>
      </c>
      <c r="U135" s="114">
        <f t="shared" ref="U135:V135" si="103">SUM(U26,U32,U45:U46,U82,U84:U85,U87,U89,U137:U142,U177,U183,U189,U198,U200,U212,U219,U222:U223,U230,U232,U234,U238:U240,U242:U244,U249,U255:U256,U258:U260,U161,U166)</f>
        <v>249.94000000000005</v>
      </c>
      <c r="V135" s="114">
        <f t="shared" si="103"/>
        <v>249.94000000000005</v>
      </c>
      <c r="W135" s="114">
        <f t="shared" si="101"/>
        <v>239.24</v>
      </c>
      <c r="X135" s="114">
        <f t="shared" si="101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04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05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05"/>
        <v>331.64</v>
      </c>
      <c r="AD135" s="114">
        <f t="shared" si="105"/>
        <v>331.64</v>
      </c>
      <c r="AE135" s="114">
        <f t="shared" ref="AE135" si="106">SUM(AE26,AE32,AE45:AE46,AE82,AE84:AE85,AE87,AE89,AE137:AE142,AE177,AE183,AE189,AE198,AE200,AE212,AE219,AE222:AE223,AE230,AE232,AE234,AE238:AE240,AE242:AE244,AE249,AE255:AE256,AE258:AE260,AE161,AE166)</f>
        <v>179.83999999999997</v>
      </c>
      <c r="AF135" s="114">
        <f t="shared" si="104"/>
        <v>0.94</v>
      </c>
      <c r="AG135" s="127"/>
      <c r="AH135" s="46">
        <f t="shared" si="30"/>
        <v>363.44</v>
      </c>
      <c r="AI135" s="47">
        <f t="shared" si="31"/>
        <v>0.94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60">
        <v>62</v>
      </c>
      <c r="AB137" s="260">
        <v>54.2</v>
      </c>
      <c r="AC137" s="260">
        <v>54.2</v>
      </c>
      <c r="AD137" s="260">
        <v>54.2</v>
      </c>
      <c r="AE137" s="260">
        <v>54.2</v>
      </c>
      <c r="AF137" s="133"/>
      <c r="AG137" s="134">
        <v>75</v>
      </c>
      <c r="AH137" s="46">
        <f t="shared" si="30"/>
        <v>62</v>
      </c>
      <c r="AI137" s="47">
        <f t="shared" si="31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1">
        <v>23.5</v>
      </c>
      <c r="AB138" s="261">
        <v>5.4</v>
      </c>
      <c r="AC138" s="261">
        <v>5.4</v>
      </c>
      <c r="AD138" s="261">
        <v>5.4</v>
      </c>
      <c r="AE138" s="261">
        <v>5.4</v>
      </c>
      <c r="AF138" s="136"/>
      <c r="AG138" s="134">
        <v>240</v>
      </c>
      <c r="AH138" s="46">
        <f t="shared" si="30"/>
        <v>49.3</v>
      </c>
      <c r="AI138" s="47">
        <f t="shared" si="31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1">
        <v>-59.8</v>
      </c>
      <c r="AB139" s="261">
        <v>-62.5</v>
      </c>
      <c r="AC139" s="261">
        <v>-62.5</v>
      </c>
      <c r="AD139" s="261">
        <v>-62.5</v>
      </c>
      <c r="AE139" s="261">
        <v>-62.5</v>
      </c>
      <c r="AF139" s="136"/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1">
        <v>69.8</v>
      </c>
      <c r="AB140" s="261">
        <v>82.1</v>
      </c>
      <c r="AC140" s="261">
        <v>82.1</v>
      </c>
      <c r="AD140" s="261">
        <v>82.1</v>
      </c>
      <c r="AE140" s="261">
        <v>82.1</v>
      </c>
      <c r="AF140" s="137"/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1">
        <v>29.9</v>
      </c>
      <c r="AB141" s="261">
        <v>22.1</v>
      </c>
      <c r="AC141" s="261">
        <v>22.1</v>
      </c>
      <c r="AD141" s="261">
        <v>22.1</v>
      </c>
      <c r="AE141" s="261">
        <v>22.1</v>
      </c>
      <c r="AF141" s="136"/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1">
        <v>85.3</v>
      </c>
      <c r="AB142" s="261">
        <v>77.599999999999994</v>
      </c>
      <c r="AC142" s="261">
        <v>77.599999999999994</v>
      </c>
      <c r="AD142" s="261">
        <v>77.599999999999994</v>
      </c>
      <c r="AE142" s="261">
        <v>77.599999999999994</v>
      </c>
      <c r="AF142" s="137"/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1">
        <v>93</v>
      </c>
      <c r="AB143" s="261">
        <v>91.9</v>
      </c>
      <c r="AC143" s="261">
        <v>91.9</v>
      </c>
      <c r="AD143" s="261">
        <v>91.9</v>
      </c>
      <c r="AE143" s="261">
        <v>91.9</v>
      </c>
      <c r="AF143" s="137"/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2">
        <v>-12.3</v>
      </c>
      <c r="AB144" s="262">
        <v>-2.9</v>
      </c>
      <c r="AC144" s="262">
        <v>-2.9</v>
      </c>
      <c r="AD144" s="262">
        <v>-2.9</v>
      </c>
      <c r="AE144" s="262">
        <v>-2.9</v>
      </c>
      <c r="AF144" s="137"/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2">
        <v>-45.8</v>
      </c>
      <c r="AB145" s="262">
        <v>-9.8000000000000007</v>
      </c>
      <c r="AC145" s="262">
        <v>-9.8000000000000007</v>
      </c>
      <c r="AD145" s="262">
        <v>-9.8000000000000007</v>
      </c>
      <c r="AE145" s="262">
        <v>-9.8000000000000007</v>
      </c>
      <c r="AF145" s="137"/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2">
        <v>-267.8</v>
      </c>
      <c r="AB146" s="262">
        <v>-257.89999999999998</v>
      </c>
      <c r="AC146" s="262">
        <v>-257.89999999999998</v>
      </c>
      <c r="AD146" s="262">
        <v>-257.89999999999998</v>
      </c>
      <c r="AE146" s="262">
        <v>-257.89999999999998</v>
      </c>
      <c r="AF146" s="137"/>
      <c r="AG146" s="138"/>
      <c r="AH146" s="46">
        <f t="shared" ref="AH146:AH158" si="107">MAX(B146:AF146)</f>
        <v>-168</v>
      </c>
      <c r="AI146" s="47">
        <f t="shared" ref="AI146:AI158" si="108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2">
        <v>16.600000000000001</v>
      </c>
      <c r="AB147" s="262">
        <v>22.2</v>
      </c>
      <c r="AC147" s="262">
        <v>22.2</v>
      </c>
      <c r="AD147" s="262">
        <v>22.2</v>
      </c>
      <c r="AE147" s="262">
        <v>22.2</v>
      </c>
      <c r="AF147" s="137"/>
      <c r="AG147" s="138"/>
      <c r="AH147" s="46">
        <f t="shared" si="107"/>
        <v>81.900000000000006</v>
      </c>
      <c r="AI147" s="47">
        <f t="shared" si="108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3">
        <v>-8.3000000000000007</v>
      </c>
      <c r="AB148" s="263">
        <v>-8.3000000000000007</v>
      </c>
      <c r="AC148" s="263">
        <v>-8.3000000000000007</v>
      </c>
      <c r="AD148" s="263">
        <v>-8.3000000000000007</v>
      </c>
      <c r="AE148" s="263">
        <v>-8.3000000000000007</v>
      </c>
      <c r="AF148" s="137"/>
      <c r="AG148" s="134"/>
      <c r="AH148" s="46">
        <f t="shared" si="107"/>
        <v>1.6</v>
      </c>
      <c r="AI148" s="47">
        <f t="shared" si="108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3">
        <f>129+127</f>
        <v>256</v>
      </c>
      <c r="AB149" s="263">
        <v>257</v>
      </c>
      <c r="AC149" s="263">
        <v>257</v>
      </c>
      <c r="AD149" s="263">
        <v>257</v>
      </c>
      <c r="AE149" s="263">
        <v>257</v>
      </c>
      <c r="AF149" s="122"/>
      <c r="AG149" s="134"/>
      <c r="AH149" s="46">
        <f t="shared" si="107"/>
        <v>257</v>
      </c>
      <c r="AI149" s="47">
        <f t="shared" si="108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3">
        <v>28.8</v>
      </c>
      <c r="AB150" s="263">
        <v>28.8</v>
      </c>
      <c r="AC150" s="263">
        <v>28.8</v>
      </c>
      <c r="AD150" s="263">
        <v>28.8</v>
      </c>
      <c r="AE150" s="263">
        <v>28.8</v>
      </c>
      <c r="AF150" s="122"/>
      <c r="AG150" s="134"/>
      <c r="AH150" s="46">
        <f t="shared" si="107"/>
        <v>31.9</v>
      </c>
      <c r="AI150" s="47">
        <f t="shared" si="108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3">
        <v>1.9</v>
      </c>
      <c r="AB151" s="263">
        <v>-2.6</v>
      </c>
      <c r="AC151" s="263">
        <v>-2.6</v>
      </c>
      <c r="AD151" s="263">
        <v>-2.6</v>
      </c>
      <c r="AE151" s="263">
        <v>-2.6</v>
      </c>
      <c r="AF151" s="122"/>
      <c r="AG151" s="134"/>
      <c r="AH151" s="46">
        <f t="shared" si="107"/>
        <v>23.2</v>
      </c>
      <c r="AI151" s="47">
        <f t="shared" si="108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07"/>
        <v>0</v>
      </c>
      <c r="AI152" s="47">
        <f t="shared" si="108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07"/>
        <v>1986.26</v>
      </c>
      <c r="AI153" s="47">
        <f t="shared" si="108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07"/>
        <v>623.77</v>
      </c>
      <c r="AI154" s="47">
        <f t="shared" si="108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07"/>
        <v>624.94000000000005</v>
      </c>
      <c r="AI155" s="47">
        <f t="shared" si="108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07"/>
        <v>337.45</v>
      </c>
      <c r="AI156" s="47">
        <f t="shared" si="108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07"/>
        <v>885.4</v>
      </c>
      <c r="AI157" s="47">
        <f t="shared" si="108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07"/>
        <v>0</v>
      </c>
      <c r="AI158" s="47">
        <f t="shared" si="10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09">C161</f>
        <v>0.3</v>
      </c>
      <c r="E161" s="159">
        <f t="shared" si="109"/>
        <v>0.3</v>
      </c>
      <c r="F161" s="159">
        <f t="shared" si="109"/>
        <v>0.3</v>
      </c>
      <c r="G161" s="159">
        <f t="shared" si="109"/>
        <v>0.3</v>
      </c>
      <c r="H161" s="159">
        <f t="shared" si="109"/>
        <v>0.3</v>
      </c>
      <c r="I161" s="159">
        <f t="shared" si="109"/>
        <v>0.3</v>
      </c>
      <c r="J161" s="159">
        <f t="shared" si="109"/>
        <v>0.3</v>
      </c>
      <c r="K161" s="159">
        <f t="shared" si="109"/>
        <v>0.3</v>
      </c>
      <c r="L161" s="159">
        <f t="shared" si="109"/>
        <v>0.3</v>
      </c>
      <c r="M161" s="159">
        <f t="shared" si="109"/>
        <v>0.3</v>
      </c>
      <c r="N161" s="159">
        <f t="shared" si="109"/>
        <v>0.3</v>
      </c>
      <c r="O161" s="159">
        <f t="shared" si="109"/>
        <v>0.3</v>
      </c>
      <c r="P161" s="159">
        <f t="shared" si="109"/>
        <v>0.3</v>
      </c>
      <c r="Q161" s="159">
        <f t="shared" si="109"/>
        <v>0.3</v>
      </c>
      <c r="R161" s="159">
        <f t="shared" si="109"/>
        <v>0.3</v>
      </c>
      <c r="S161" s="159">
        <f t="shared" si="109"/>
        <v>0.3</v>
      </c>
      <c r="T161" s="159">
        <f t="shared" si="109"/>
        <v>0.3</v>
      </c>
      <c r="U161" s="159">
        <f t="shared" ref="S161:AF166" si="110">T161</f>
        <v>0.3</v>
      </c>
      <c r="V161" s="159">
        <f t="shared" si="110"/>
        <v>0.3</v>
      </c>
      <c r="W161" s="159">
        <f t="shared" si="110"/>
        <v>0.3</v>
      </c>
      <c r="X161" s="159">
        <f t="shared" si="110"/>
        <v>0.3</v>
      </c>
      <c r="Y161" s="159">
        <f t="shared" si="110"/>
        <v>0.3</v>
      </c>
      <c r="Z161" s="159">
        <f t="shared" si="110"/>
        <v>0.3</v>
      </c>
      <c r="AA161" s="159">
        <f t="shared" si="110"/>
        <v>0.3</v>
      </c>
      <c r="AB161" s="159">
        <f t="shared" si="110"/>
        <v>0.3</v>
      </c>
      <c r="AC161" s="159">
        <f t="shared" si="110"/>
        <v>0.3</v>
      </c>
      <c r="AD161" s="159">
        <f t="shared" si="110"/>
        <v>0.3</v>
      </c>
      <c r="AE161" s="159">
        <f t="shared" si="110"/>
        <v>0.3</v>
      </c>
      <c r="AF161" s="159">
        <f t="shared" si="11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09"/>
        <v>0.4</v>
      </c>
      <c r="E162" s="161">
        <f t="shared" si="109"/>
        <v>0.4</v>
      </c>
      <c r="F162" s="161">
        <f t="shared" si="109"/>
        <v>0.4</v>
      </c>
      <c r="G162" s="161">
        <f t="shared" si="109"/>
        <v>0.4</v>
      </c>
      <c r="H162" s="161">
        <f t="shared" si="109"/>
        <v>0.4</v>
      </c>
      <c r="I162" s="161">
        <f t="shared" si="109"/>
        <v>0.4</v>
      </c>
      <c r="J162" s="161">
        <f t="shared" si="109"/>
        <v>0.4</v>
      </c>
      <c r="K162" s="161">
        <f t="shared" si="109"/>
        <v>0.4</v>
      </c>
      <c r="L162" s="161">
        <f t="shared" si="109"/>
        <v>0.4</v>
      </c>
      <c r="M162" s="161">
        <f t="shared" si="109"/>
        <v>0.4</v>
      </c>
      <c r="N162" s="161">
        <f t="shared" si="109"/>
        <v>0.4</v>
      </c>
      <c r="O162" s="161">
        <f t="shared" si="109"/>
        <v>0.4</v>
      </c>
      <c r="P162" s="161">
        <f t="shared" si="109"/>
        <v>0.4</v>
      </c>
      <c r="Q162" s="161">
        <f t="shared" si="109"/>
        <v>0.4</v>
      </c>
      <c r="R162" s="161">
        <f t="shared" si="109"/>
        <v>0.4</v>
      </c>
      <c r="S162" s="161">
        <f t="shared" si="109"/>
        <v>0.4</v>
      </c>
      <c r="T162" s="161">
        <f t="shared" si="109"/>
        <v>0.4</v>
      </c>
      <c r="U162" s="161">
        <f t="shared" si="110"/>
        <v>0.4</v>
      </c>
      <c r="V162" s="161">
        <f t="shared" si="110"/>
        <v>0.4</v>
      </c>
      <c r="W162" s="161">
        <f t="shared" si="110"/>
        <v>0.4</v>
      </c>
      <c r="X162" s="161">
        <f t="shared" si="110"/>
        <v>0.4</v>
      </c>
      <c r="Y162" s="161">
        <f t="shared" si="110"/>
        <v>0.4</v>
      </c>
      <c r="Z162" s="161">
        <f t="shared" si="110"/>
        <v>0.4</v>
      </c>
      <c r="AA162" s="161">
        <f t="shared" si="110"/>
        <v>0.4</v>
      </c>
      <c r="AB162" s="161">
        <f t="shared" si="110"/>
        <v>0.4</v>
      </c>
      <c r="AC162" s="161">
        <f t="shared" si="110"/>
        <v>0.4</v>
      </c>
      <c r="AD162" s="161">
        <f t="shared" si="110"/>
        <v>0.4</v>
      </c>
      <c r="AE162" s="161">
        <f t="shared" si="110"/>
        <v>0.4</v>
      </c>
      <c r="AF162" s="161">
        <f t="shared" si="11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09"/>
        <v>1.5</v>
      </c>
      <c r="E163" s="161">
        <f t="shared" si="109"/>
        <v>1.5</v>
      </c>
      <c r="F163" s="161">
        <f t="shared" si="109"/>
        <v>1.5</v>
      </c>
      <c r="G163" s="161">
        <f t="shared" si="109"/>
        <v>1.5</v>
      </c>
      <c r="H163" s="161">
        <f t="shared" si="109"/>
        <v>1.5</v>
      </c>
      <c r="I163" s="161">
        <f t="shared" si="109"/>
        <v>1.5</v>
      </c>
      <c r="J163" s="161">
        <f t="shared" si="109"/>
        <v>1.5</v>
      </c>
      <c r="K163" s="161">
        <f t="shared" si="109"/>
        <v>1.5</v>
      </c>
      <c r="L163" s="161">
        <f t="shared" si="109"/>
        <v>1.5</v>
      </c>
      <c r="M163" s="161">
        <f t="shared" si="109"/>
        <v>1.5</v>
      </c>
      <c r="N163" s="161">
        <f t="shared" si="109"/>
        <v>1.5</v>
      </c>
      <c r="O163" s="161">
        <f t="shared" si="109"/>
        <v>1.5</v>
      </c>
      <c r="P163" s="161">
        <f t="shared" si="109"/>
        <v>1.5</v>
      </c>
      <c r="Q163" s="161">
        <f t="shared" si="109"/>
        <v>1.5</v>
      </c>
      <c r="R163" s="161">
        <f t="shared" si="109"/>
        <v>1.5</v>
      </c>
      <c r="S163" s="161">
        <f t="shared" si="109"/>
        <v>1.5</v>
      </c>
      <c r="T163" s="161">
        <f t="shared" si="109"/>
        <v>1.5</v>
      </c>
      <c r="U163" s="161">
        <f t="shared" si="110"/>
        <v>1.5</v>
      </c>
      <c r="V163" s="161">
        <f t="shared" si="110"/>
        <v>1.5</v>
      </c>
      <c r="W163" s="161">
        <f t="shared" si="110"/>
        <v>1.5</v>
      </c>
      <c r="X163" s="161">
        <f t="shared" si="110"/>
        <v>1.5</v>
      </c>
      <c r="Y163" s="161">
        <f t="shared" si="110"/>
        <v>1.5</v>
      </c>
      <c r="Z163" s="161">
        <f t="shared" si="110"/>
        <v>1.5</v>
      </c>
      <c r="AA163" s="161">
        <f t="shared" si="110"/>
        <v>1.5</v>
      </c>
      <c r="AB163" s="161">
        <f t="shared" si="110"/>
        <v>1.5</v>
      </c>
      <c r="AC163" s="161">
        <f t="shared" si="110"/>
        <v>1.5</v>
      </c>
      <c r="AD163" s="161">
        <f t="shared" si="110"/>
        <v>1.5</v>
      </c>
      <c r="AE163" s="161">
        <f t="shared" si="110"/>
        <v>1.5</v>
      </c>
      <c r="AF163" s="161">
        <f t="shared" si="11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09"/>
        <v>0.3</v>
      </c>
      <c r="E164" s="161">
        <f t="shared" si="109"/>
        <v>0.3</v>
      </c>
      <c r="F164" s="161">
        <f t="shared" si="109"/>
        <v>0.3</v>
      </c>
      <c r="G164" s="161">
        <f t="shared" si="109"/>
        <v>0.3</v>
      </c>
      <c r="H164" s="161">
        <f t="shared" si="109"/>
        <v>0.3</v>
      </c>
      <c r="I164" s="161">
        <f t="shared" si="109"/>
        <v>0.3</v>
      </c>
      <c r="J164" s="161">
        <f t="shared" si="109"/>
        <v>0.3</v>
      </c>
      <c r="K164" s="161">
        <f t="shared" si="109"/>
        <v>0.3</v>
      </c>
      <c r="L164" s="161">
        <f t="shared" si="109"/>
        <v>0.3</v>
      </c>
      <c r="M164" s="161">
        <f t="shared" si="109"/>
        <v>0.3</v>
      </c>
      <c r="N164" s="161">
        <f t="shared" si="109"/>
        <v>0.3</v>
      </c>
      <c r="O164" s="161">
        <f t="shared" si="109"/>
        <v>0.3</v>
      </c>
      <c r="P164" s="161">
        <f t="shared" si="109"/>
        <v>0.3</v>
      </c>
      <c r="Q164" s="161">
        <f t="shared" si="109"/>
        <v>0.3</v>
      </c>
      <c r="R164" s="161">
        <f t="shared" si="109"/>
        <v>0.3</v>
      </c>
      <c r="S164" s="161">
        <f t="shared" si="109"/>
        <v>0.3</v>
      </c>
      <c r="T164" s="161">
        <f t="shared" si="109"/>
        <v>0.3</v>
      </c>
      <c r="U164" s="161">
        <f t="shared" si="110"/>
        <v>0.3</v>
      </c>
      <c r="V164" s="161">
        <f t="shared" si="110"/>
        <v>0.3</v>
      </c>
      <c r="W164" s="161">
        <f t="shared" si="110"/>
        <v>0.3</v>
      </c>
      <c r="X164" s="161">
        <f t="shared" si="110"/>
        <v>0.3</v>
      </c>
      <c r="Y164" s="161">
        <f t="shared" si="110"/>
        <v>0.3</v>
      </c>
      <c r="Z164" s="161">
        <f t="shared" si="110"/>
        <v>0.3</v>
      </c>
      <c r="AA164" s="161">
        <f t="shared" si="110"/>
        <v>0.3</v>
      </c>
      <c r="AB164" s="161">
        <f t="shared" si="110"/>
        <v>0.3</v>
      </c>
      <c r="AC164" s="161">
        <f t="shared" si="110"/>
        <v>0.3</v>
      </c>
      <c r="AD164" s="161">
        <f t="shared" si="110"/>
        <v>0.3</v>
      </c>
      <c r="AE164" s="161">
        <f t="shared" si="110"/>
        <v>0.3</v>
      </c>
      <c r="AF164" s="161">
        <f t="shared" si="11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09"/>
        <v>0.4</v>
      </c>
      <c r="E165" s="161">
        <f t="shared" si="109"/>
        <v>0.4</v>
      </c>
      <c r="F165" s="161">
        <f t="shared" si="109"/>
        <v>0.4</v>
      </c>
      <c r="G165" s="161">
        <f t="shared" si="109"/>
        <v>0.4</v>
      </c>
      <c r="H165" s="161">
        <f t="shared" si="109"/>
        <v>0.4</v>
      </c>
      <c r="I165" s="161">
        <f t="shared" si="109"/>
        <v>0.4</v>
      </c>
      <c r="J165" s="161">
        <f t="shared" si="109"/>
        <v>0.4</v>
      </c>
      <c r="K165" s="161">
        <f t="shared" si="109"/>
        <v>0.4</v>
      </c>
      <c r="L165" s="161">
        <f t="shared" si="109"/>
        <v>0.4</v>
      </c>
      <c r="M165" s="161">
        <f t="shared" si="109"/>
        <v>0.4</v>
      </c>
      <c r="N165" s="161">
        <f t="shared" si="109"/>
        <v>0.4</v>
      </c>
      <c r="O165" s="161">
        <f t="shared" si="109"/>
        <v>0.4</v>
      </c>
      <c r="P165" s="161">
        <f t="shared" si="109"/>
        <v>0.4</v>
      </c>
      <c r="Q165" s="161">
        <f t="shared" si="109"/>
        <v>0.4</v>
      </c>
      <c r="R165" s="161">
        <f t="shared" si="109"/>
        <v>0.4</v>
      </c>
      <c r="S165" s="161">
        <f t="shared" si="109"/>
        <v>0.4</v>
      </c>
      <c r="T165" s="161">
        <f t="shared" si="109"/>
        <v>0.4</v>
      </c>
      <c r="U165" s="161">
        <f t="shared" si="110"/>
        <v>0.4</v>
      </c>
      <c r="V165" s="161">
        <f t="shared" si="110"/>
        <v>0.4</v>
      </c>
      <c r="W165" s="161">
        <f t="shared" si="110"/>
        <v>0.4</v>
      </c>
      <c r="X165" s="161">
        <f t="shared" si="110"/>
        <v>0.4</v>
      </c>
      <c r="Y165" s="161">
        <f t="shared" si="110"/>
        <v>0.4</v>
      </c>
      <c r="Z165" s="161">
        <f t="shared" si="110"/>
        <v>0.4</v>
      </c>
      <c r="AA165" s="161">
        <f t="shared" si="110"/>
        <v>0.4</v>
      </c>
      <c r="AB165" s="161">
        <f t="shared" si="110"/>
        <v>0.4</v>
      </c>
      <c r="AC165" s="161">
        <f t="shared" si="110"/>
        <v>0.4</v>
      </c>
      <c r="AD165" s="161">
        <f t="shared" si="110"/>
        <v>0.4</v>
      </c>
      <c r="AE165" s="161">
        <f t="shared" si="110"/>
        <v>0.4</v>
      </c>
      <c r="AF165" s="161">
        <f t="shared" si="11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09"/>
        <v>0.64</v>
      </c>
      <c r="E166" s="164">
        <f t="shared" si="109"/>
        <v>0.64</v>
      </c>
      <c r="F166" s="164">
        <f t="shared" si="109"/>
        <v>0.64</v>
      </c>
      <c r="G166" s="164">
        <f t="shared" si="109"/>
        <v>0.64</v>
      </c>
      <c r="H166" s="164">
        <f t="shared" si="109"/>
        <v>0.64</v>
      </c>
      <c r="I166" s="164">
        <f t="shared" si="109"/>
        <v>0.64</v>
      </c>
      <c r="J166" s="164">
        <f t="shared" si="109"/>
        <v>0.64</v>
      </c>
      <c r="K166" s="164">
        <f t="shared" si="109"/>
        <v>0.64</v>
      </c>
      <c r="L166" s="164">
        <f t="shared" si="109"/>
        <v>0.64</v>
      </c>
      <c r="M166" s="164">
        <f t="shared" si="109"/>
        <v>0.64</v>
      </c>
      <c r="N166" s="164">
        <f t="shared" si="109"/>
        <v>0.64</v>
      </c>
      <c r="O166" s="164">
        <f t="shared" si="109"/>
        <v>0.64</v>
      </c>
      <c r="P166" s="164">
        <f t="shared" si="109"/>
        <v>0.64</v>
      </c>
      <c r="Q166" s="164">
        <f t="shared" si="109"/>
        <v>0.64</v>
      </c>
      <c r="R166" s="164">
        <f t="shared" si="109"/>
        <v>0.64</v>
      </c>
      <c r="S166" s="164">
        <f t="shared" si="109"/>
        <v>0.64</v>
      </c>
      <c r="T166" s="164">
        <f t="shared" si="109"/>
        <v>0.64</v>
      </c>
      <c r="U166" s="164">
        <f t="shared" si="110"/>
        <v>0.64</v>
      </c>
      <c r="V166" s="164">
        <f t="shared" si="110"/>
        <v>0.64</v>
      </c>
      <c r="W166" s="164">
        <f t="shared" si="110"/>
        <v>0.64</v>
      </c>
      <c r="X166" s="164">
        <f t="shared" si="110"/>
        <v>0.64</v>
      </c>
      <c r="Y166" s="164">
        <f t="shared" si="110"/>
        <v>0.64</v>
      </c>
      <c r="Z166" s="164">
        <f t="shared" si="110"/>
        <v>0.64</v>
      </c>
      <c r="AA166" s="164">
        <f t="shared" si="110"/>
        <v>0.64</v>
      </c>
      <c r="AB166" s="164">
        <f t="shared" si="110"/>
        <v>0.64</v>
      </c>
      <c r="AC166" s="164">
        <f t="shared" si="110"/>
        <v>0.64</v>
      </c>
      <c r="AD166" s="164">
        <f t="shared" si="110"/>
        <v>0.64</v>
      </c>
      <c r="AE166" s="164">
        <f t="shared" si="110"/>
        <v>0.64</v>
      </c>
      <c r="AF166" s="164">
        <f t="shared" si="11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11">SUM(D161:D166)</f>
        <v>3.54</v>
      </c>
      <c r="E167" s="167">
        <f t="shared" si="111"/>
        <v>3.54</v>
      </c>
      <c r="F167" s="167">
        <f t="shared" si="111"/>
        <v>3.54</v>
      </c>
      <c r="G167" s="167">
        <f t="shared" si="111"/>
        <v>3.54</v>
      </c>
      <c r="H167" s="167">
        <f t="shared" si="111"/>
        <v>3.54</v>
      </c>
      <c r="I167" s="167">
        <f t="shared" si="111"/>
        <v>3.54</v>
      </c>
      <c r="J167" s="167">
        <f t="shared" si="111"/>
        <v>3.54</v>
      </c>
      <c r="K167" s="167">
        <f t="shared" si="111"/>
        <v>3.54</v>
      </c>
      <c r="L167" s="167">
        <f t="shared" si="111"/>
        <v>3.54</v>
      </c>
      <c r="M167" s="167">
        <f t="shared" si="111"/>
        <v>3.54</v>
      </c>
      <c r="N167" s="167">
        <f t="shared" si="111"/>
        <v>3.54</v>
      </c>
      <c r="O167" s="167">
        <f t="shared" si="111"/>
        <v>3.54</v>
      </c>
      <c r="P167" s="167">
        <f t="shared" si="111"/>
        <v>3.54</v>
      </c>
      <c r="Q167" s="167">
        <f t="shared" si="111"/>
        <v>3.54</v>
      </c>
      <c r="R167" s="167">
        <f t="shared" si="111"/>
        <v>3.54</v>
      </c>
      <c r="S167" s="167">
        <f t="shared" si="111"/>
        <v>3.54</v>
      </c>
      <c r="T167" s="167">
        <f t="shared" ref="T167" si="112">SUM(T161:T166)</f>
        <v>3.54</v>
      </c>
      <c r="U167" s="167">
        <f t="shared" si="111"/>
        <v>3.54</v>
      </c>
      <c r="V167" s="167">
        <f t="shared" si="111"/>
        <v>3.54</v>
      </c>
      <c r="W167" s="167">
        <f t="shared" si="111"/>
        <v>3.54</v>
      </c>
      <c r="X167" s="167">
        <f t="shared" si="111"/>
        <v>3.54</v>
      </c>
      <c r="Y167" s="167">
        <f t="shared" si="111"/>
        <v>3.54</v>
      </c>
      <c r="Z167" s="167">
        <f t="shared" si="111"/>
        <v>3.54</v>
      </c>
      <c r="AA167" s="167">
        <f t="shared" si="111"/>
        <v>3.54</v>
      </c>
      <c r="AB167" s="167">
        <f t="shared" ref="AB167" si="113">SUM(AB161:AB166)</f>
        <v>3.54</v>
      </c>
      <c r="AC167" s="167">
        <f t="shared" si="111"/>
        <v>3.54</v>
      </c>
      <c r="AD167" s="167">
        <f t="shared" si="111"/>
        <v>3.54</v>
      </c>
      <c r="AE167" s="167">
        <f t="shared" si="111"/>
        <v>3.54</v>
      </c>
      <c r="AF167" s="167">
        <f t="shared" si="111"/>
        <v>3.54</v>
      </c>
      <c r="AG167" s="168">
        <f t="shared" si="111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14">C169</f>
        <v>0</v>
      </c>
      <c r="E169" s="159">
        <f t="shared" si="114"/>
        <v>0</v>
      </c>
      <c r="F169" s="159">
        <f t="shared" si="114"/>
        <v>0</v>
      </c>
      <c r="G169" s="159">
        <f t="shared" si="114"/>
        <v>0</v>
      </c>
      <c r="H169" s="159">
        <f t="shared" si="114"/>
        <v>0</v>
      </c>
      <c r="I169" s="159">
        <f t="shared" si="114"/>
        <v>0</v>
      </c>
      <c r="J169" s="159">
        <f t="shared" si="114"/>
        <v>0</v>
      </c>
      <c r="K169" s="159">
        <f t="shared" si="114"/>
        <v>0</v>
      </c>
      <c r="L169" s="159">
        <f t="shared" si="114"/>
        <v>0</v>
      </c>
      <c r="M169" s="159">
        <f t="shared" si="114"/>
        <v>0</v>
      </c>
      <c r="N169" s="159">
        <f t="shared" si="114"/>
        <v>0</v>
      </c>
      <c r="O169" s="159">
        <f t="shared" si="114"/>
        <v>0</v>
      </c>
      <c r="P169" s="159">
        <f t="shared" si="114"/>
        <v>0</v>
      </c>
      <c r="Q169" s="159">
        <f t="shared" si="114"/>
        <v>0</v>
      </c>
      <c r="R169" s="159">
        <f t="shared" si="114"/>
        <v>0</v>
      </c>
      <c r="S169" s="159">
        <f t="shared" ref="S169:AF184" si="115">R169</f>
        <v>0</v>
      </c>
      <c r="T169" s="159">
        <f t="shared" si="115"/>
        <v>0</v>
      </c>
      <c r="U169" s="159">
        <f t="shared" si="115"/>
        <v>0</v>
      </c>
      <c r="V169" s="159">
        <f t="shared" si="115"/>
        <v>0</v>
      </c>
      <c r="W169" s="159">
        <f t="shared" si="115"/>
        <v>0</v>
      </c>
      <c r="X169" s="159">
        <f t="shared" si="115"/>
        <v>0</v>
      </c>
      <c r="Y169" s="159">
        <f t="shared" si="115"/>
        <v>0</v>
      </c>
      <c r="Z169" s="159">
        <f t="shared" si="115"/>
        <v>0</v>
      </c>
      <c r="AA169" s="159">
        <f t="shared" si="115"/>
        <v>0</v>
      </c>
      <c r="AB169" s="159">
        <f t="shared" si="115"/>
        <v>0</v>
      </c>
      <c r="AC169" s="159">
        <f t="shared" si="115"/>
        <v>0</v>
      </c>
      <c r="AD169" s="159">
        <f t="shared" si="115"/>
        <v>0</v>
      </c>
      <c r="AE169" s="159">
        <f t="shared" si="115"/>
        <v>0</v>
      </c>
      <c r="AF169" s="172">
        <f t="shared" si="115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14"/>
        <v>0</v>
      </c>
      <c r="E170" s="161">
        <f t="shared" si="114"/>
        <v>0</v>
      </c>
      <c r="F170" s="161">
        <f t="shared" si="114"/>
        <v>0</v>
      </c>
      <c r="G170" s="161">
        <f t="shared" si="114"/>
        <v>0</v>
      </c>
      <c r="H170" s="161">
        <f t="shared" si="114"/>
        <v>0</v>
      </c>
      <c r="I170" s="161">
        <f t="shared" si="114"/>
        <v>0</v>
      </c>
      <c r="J170" s="161">
        <f t="shared" si="114"/>
        <v>0</v>
      </c>
      <c r="K170" s="161">
        <f t="shared" si="114"/>
        <v>0</v>
      </c>
      <c r="L170" s="161">
        <f t="shared" si="114"/>
        <v>0</v>
      </c>
      <c r="M170" s="161">
        <f t="shared" si="114"/>
        <v>0</v>
      </c>
      <c r="N170" s="161">
        <f t="shared" si="114"/>
        <v>0</v>
      </c>
      <c r="O170" s="161">
        <f t="shared" si="114"/>
        <v>0</v>
      </c>
      <c r="P170" s="161">
        <f t="shared" si="114"/>
        <v>0</v>
      </c>
      <c r="Q170" s="161">
        <f t="shared" si="114"/>
        <v>0</v>
      </c>
      <c r="R170" s="161">
        <f t="shared" si="114"/>
        <v>0</v>
      </c>
      <c r="S170" s="161">
        <f t="shared" si="115"/>
        <v>0</v>
      </c>
      <c r="T170" s="161">
        <f t="shared" si="115"/>
        <v>0</v>
      </c>
      <c r="U170" s="161">
        <f t="shared" si="115"/>
        <v>0</v>
      </c>
      <c r="V170" s="161">
        <f t="shared" si="115"/>
        <v>0</v>
      </c>
      <c r="W170" s="161">
        <f t="shared" si="115"/>
        <v>0</v>
      </c>
      <c r="X170" s="161">
        <f t="shared" si="115"/>
        <v>0</v>
      </c>
      <c r="Y170" s="161">
        <f t="shared" si="115"/>
        <v>0</v>
      </c>
      <c r="Z170" s="161">
        <f t="shared" si="115"/>
        <v>0</v>
      </c>
      <c r="AA170" s="161">
        <f t="shared" si="115"/>
        <v>0</v>
      </c>
      <c r="AB170" s="161">
        <f t="shared" si="115"/>
        <v>0</v>
      </c>
      <c r="AC170" s="161">
        <f t="shared" si="115"/>
        <v>0</v>
      </c>
      <c r="AD170" s="161">
        <f t="shared" si="115"/>
        <v>0</v>
      </c>
      <c r="AE170" s="161">
        <f t="shared" si="115"/>
        <v>0</v>
      </c>
      <c r="AF170" s="174">
        <f t="shared" si="115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14"/>
        <v>0</v>
      </c>
      <c r="E171" s="161">
        <f t="shared" si="114"/>
        <v>0</v>
      </c>
      <c r="F171" s="161">
        <f t="shared" si="114"/>
        <v>0</v>
      </c>
      <c r="G171" s="161">
        <f t="shared" si="114"/>
        <v>0</v>
      </c>
      <c r="H171" s="161">
        <f t="shared" si="114"/>
        <v>0</v>
      </c>
      <c r="I171" s="161">
        <f t="shared" si="114"/>
        <v>0</v>
      </c>
      <c r="J171" s="161">
        <f t="shared" si="114"/>
        <v>0</v>
      </c>
      <c r="K171" s="161">
        <f t="shared" si="114"/>
        <v>0</v>
      </c>
      <c r="L171" s="161">
        <f t="shared" si="114"/>
        <v>0</v>
      </c>
      <c r="M171" s="161">
        <f t="shared" si="114"/>
        <v>0</v>
      </c>
      <c r="N171" s="161">
        <f t="shared" si="114"/>
        <v>0</v>
      </c>
      <c r="O171" s="161">
        <f t="shared" si="114"/>
        <v>0</v>
      </c>
      <c r="P171" s="161">
        <f t="shared" si="114"/>
        <v>0</v>
      </c>
      <c r="Q171" s="161">
        <f t="shared" si="114"/>
        <v>0</v>
      </c>
      <c r="R171" s="161">
        <f t="shared" si="114"/>
        <v>0</v>
      </c>
      <c r="S171" s="161">
        <f t="shared" si="115"/>
        <v>0</v>
      </c>
      <c r="T171" s="161">
        <f t="shared" si="115"/>
        <v>0</v>
      </c>
      <c r="U171" s="161">
        <f t="shared" si="115"/>
        <v>0</v>
      </c>
      <c r="V171" s="161">
        <f t="shared" si="115"/>
        <v>0</v>
      </c>
      <c r="W171" s="161">
        <f t="shared" si="115"/>
        <v>0</v>
      </c>
      <c r="X171" s="161">
        <f t="shared" si="115"/>
        <v>0</v>
      </c>
      <c r="Y171" s="161">
        <f t="shared" si="115"/>
        <v>0</v>
      </c>
      <c r="Z171" s="161">
        <f t="shared" si="115"/>
        <v>0</v>
      </c>
      <c r="AA171" s="161">
        <f t="shared" si="115"/>
        <v>0</v>
      </c>
      <c r="AB171" s="161">
        <f t="shared" si="115"/>
        <v>0</v>
      </c>
      <c r="AC171" s="161">
        <f t="shared" si="115"/>
        <v>0</v>
      </c>
      <c r="AD171" s="161">
        <f t="shared" si="115"/>
        <v>0</v>
      </c>
      <c r="AE171" s="161">
        <f t="shared" si="115"/>
        <v>0</v>
      </c>
      <c r="AF171" s="174">
        <f t="shared" si="115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14"/>
        <v>0</v>
      </c>
      <c r="E172" s="161">
        <f t="shared" si="114"/>
        <v>0</v>
      </c>
      <c r="F172" s="161">
        <f t="shared" si="114"/>
        <v>0</v>
      </c>
      <c r="G172" s="161">
        <f t="shared" si="114"/>
        <v>0</v>
      </c>
      <c r="H172" s="161">
        <f t="shared" si="114"/>
        <v>0</v>
      </c>
      <c r="I172" s="161">
        <f t="shared" si="114"/>
        <v>0</v>
      </c>
      <c r="J172" s="161">
        <f t="shared" si="114"/>
        <v>0</v>
      </c>
      <c r="K172" s="161">
        <f t="shared" si="114"/>
        <v>0</v>
      </c>
      <c r="L172" s="161">
        <f t="shared" si="114"/>
        <v>0</v>
      </c>
      <c r="M172" s="161">
        <f t="shared" si="114"/>
        <v>0</v>
      </c>
      <c r="N172" s="161">
        <f t="shared" si="114"/>
        <v>0</v>
      </c>
      <c r="O172" s="161">
        <f t="shared" si="114"/>
        <v>0</v>
      </c>
      <c r="P172" s="161">
        <f t="shared" si="114"/>
        <v>0</v>
      </c>
      <c r="Q172" s="161">
        <f t="shared" si="114"/>
        <v>0</v>
      </c>
      <c r="R172" s="161">
        <f t="shared" si="114"/>
        <v>0</v>
      </c>
      <c r="S172" s="161">
        <f t="shared" si="115"/>
        <v>0</v>
      </c>
      <c r="T172" s="161">
        <f t="shared" si="115"/>
        <v>0</v>
      </c>
      <c r="U172" s="161">
        <f t="shared" si="115"/>
        <v>0</v>
      </c>
      <c r="V172" s="161">
        <f t="shared" si="115"/>
        <v>0</v>
      </c>
      <c r="W172" s="161">
        <f t="shared" si="115"/>
        <v>0</v>
      </c>
      <c r="X172" s="161">
        <f t="shared" si="115"/>
        <v>0</v>
      </c>
      <c r="Y172" s="161">
        <f t="shared" si="115"/>
        <v>0</v>
      </c>
      <c r="Z172" s="161">
        <f t="shared" si="115"/>
        <v>0</v>
      </c>
      <c r="AA172" s="161">
        <f t="shared" si="115"/>
        <v>0</v>
      </c>
      <c r="AB172" s="161">
        <f t="shared" si="115"/>
        <v>0</v>
      </c>
      <c r="AC172" s="161">
        <f t="shared" si="115"/>
        <v>0</v>
      </c>
      <c r="AD172" s="161">
        <f t="shared" si="115"/>
        <v>0</v>
      </c>
      <c r="AE172" s="161">
        <f t="shared" si="115"/>
        <v>0</v>
      </c>
      <c r="AF172" s="174">
        <f t="shared" si="115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14"/>
        <v>0</v>
      </c>
      <c r="E173" s="161">
        <f t="shared" si="114"/>
        <v>0</v>
      </c>
      <c r="F173" s="161">
        <f t="shared" si="114"/>
        <v>0</v>
      </c>
      <c r="G173" s="161">
        <f t="shared" si="114"/>
        <v>0</v>
      </c>
      <c r="H173" s="161">
        <f t="shared" si="114"/>
        <v>0</v>
      </c>
      <c r="I173" s="161">
        <f t="shared" si="114"/>
        <v>0</v>
      </c>
      <c r="J173" s="161">
        <f t="shared" si="114"/>
        <v>0</v>
      </c>
      <c r="K173" s="161">
        <f t="shared" si="114"/>
        <v>0</v>
      </c>
      <c r="L173" s="161">
        <f t="shared" si="114"/>
        <v>0</v>
      </c>
      <c r="M173" s="161">
        <f t="shared" si="114"/>
        <v>0</v>
      </c>
      <c r="N173" s="161">
        <f t="shared" si="114"/>
        <v>0</v>
      </c>
      <c r="O173" s="161">
        <f t="shared" si="114"/>
        <v>0</v>
      </c>
      <c r="P173" s="161">
        <f t="shared" si="114"/>
        <v>0</v>
      </c>
      <c r="Q173" s="161">
        <f t="shared" si="114"/>
        <v>0</v>
      </c>
      <c r="R173" s="161">
        <f t="shared" si="114"/>
        <v>0</v>
      </c>
      <c r="S173" s="161">
        <f t="shared" si="115"/>
        <v>0</v>
      </c>
      <c r="T173" s="161">
        <f t="shared" si="115"/>
        <v>0</v>
      </c>
      <c r="U173" s="161">
        <f t="shared" si="115"/>
        <v>0</v>
      </c>
      <c r="V173" s="161">
        <f t="shared" si="115"/>
        <v>0</v>
      </c>
      <c r="W173" s="161">
        <f t="shared" si="115"/>
        <v>0</v>
      </c>
      <c r="X173" s="161">
        <f t="shared" si="115"/>
        <v>0</v>
      </c>
      <c r="Y173" s="161">
        <f t="shared" si="115"/>
        <v>0</v>
      </c>
      <c r="Z173" s="161">
        <f t="shared" si="115"/>
        <v>0</v>
      </c>
      <c r="AA173" s="161">
        <f t="shared" si="115"/>
        <v>0</v>
      </c>
      <c r="AB173" s="161">
        <f t="shared" si="115"/>
        <v>0</v>
      </c>
      <c r="AC173" s="161">
        <f t="shared" si="115"/>
        <v>0</v>
      </c>
      <c r="AD173" s="161">
        <f t="shared" si="115"/>
        <v>0</v>
      </c>
      <c r="AE173" s="161">
        <f t="shared" si="115"/>
        <v>0</v>
      </c>
      <c r="AF173" s="174">
        <f t="shared" si="115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14"/>
        <v>0</v>
      </c>
      <c r="E174" s="161">
        <f t="shared" si="114"/>
        <v>0</v>
      </c>
      <c r="F174" s="161">
        <f t="shared" si="114"/>
        <v>0</v>
      </c>
      <c r="G174" s="161">
        <f t="shared" si="114"/>
        <v>0</v>
      </c>
      <c r="H174" s="161">
        <f t="shared" si="114"/>
        <v>0</v>
      </c>
      <c r="I174" s="161">
        <f t="shared" si="114"/>
        <v>0</v>
      </c>
      <c r="J174" s="161">
        <f t="shared" si="114"/>
        <v>0</v>
      </c>
      <c r="K174" s="161">
        <f t="shared" si="114"/>
        <v>0</v>
      </c>
      <c r="L174" s="161">
        <f t="shared" si="114"/>
        <v>0</v>
      </c>
      <c r="M174" s="161">
        <f t="shared" si="114"/>
        <v>0</v>
      </c>
      <c r="N174" s="161">
        <f t="shared" si="114"/>
        <v>0</v>
      </c>
      <c r="O174" s="161">
        <f t="shared" si="114"/>
        <v>0</v>
      </c>
      <c r="P174" s="161">
        <f t="shared" si="114"/>
        <v>0</v>
      </c>
      <c r="Q174" s="161">
        <f t="shared" si="114"/>
        <v>0</v>
      </c>
      <c r="R174" s="161">
        <f t="shared" si="114"/>
        <v>0</v>
      </c>
      <c r="S174" s="161">
        <f t="shared" si="115"/>
        <v>0</v>
      </c>
      <c r="T174" s="161">
        <f t="shared" si="115"/>
        <v>0</v>
      </c>
      <c r="U174" s="161">
        <f t="shared" si="115"/>
        <v>0</v>
      </c>
      <c r="V174" s="161">
        <f t="shared" si="115"/>
        <v>0</v>
      </c>
      <c r="W174" s="161">
        <f t="shared" si="115"/>
        <v>0</v>
      </c>
      <c r="X174" s="161">
        <f t="shared" si="115"/>
        <v>0</v>
      </c>
      <c r="Y174" s="161">
        <f t="shared" si="115"/>
        <v>0</v>
      </c>
      <c r="Z174" s="161">
        <f t="shared" si="115"/>
        <v>0</v>
      </c>
      <c r="AA174" s="161">
        <f t="shared" si="115"/>
        <v>0</v>
      </c>
      <c r="AB174" s="161">
        <f t="shared" si="115"/>
        <v>0</v>
      </c>
      <c r="AC174" s="161">
        <f t="shared" si="115"/>
        <v>0</v>
      </c>
      <c r="AD174" s="161">
        <f t="shared" si="115"/>
        <v>0</v>
      </c>
      <c r="AE174" s="161">
        <f t="shared" si="115"/>
        <v>0</v>
      </c>
      <c r="AF174" s="174">
        <f t="shared" si="115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14"/>
        <v>0</v>
      </c>
      <c r="D175" s="161">
        <f t="shared" si="114"/>
        <v>0</v>
      </c>
      <c r="E175" s="161">
        <f t="shared" si="114"/>
        <v>0</v>
      </c>
      <c r="F175" s="161">
        <f t="shared" si="114"/>
        <v>0</v>
      </c>
      <c r="G175" s="161">
        <f t="shared" si="114"/>
        <v>0</v>
      </c>
      <c r="H175" s="161">
        <f t="shared" si="114"/>
        <v>0</v>
      </c>
      <c r="I175" s="161">
        <f t="shared" si="114"/>
        <v>0</v>
      </c>
      <c r="J175" s="161">
        <f t="shared" si="114"/>
        <v>0</v>
      </c>
      <c r="K175" s="161">
        <f t="shared" si="114"/>
        <v>0</v>
      </c>
      <c r="L175" s="161">
        <f t="shared" si="114"/>
        <v>0</v>
      </c>
      <c r="M175" s="161">
        <f t="shared" si="114"/>
        <v>0</v>
      </c>
      <c r="N175" s="161">
        <f t="shared" si="114"/>
        <v>0</v>
      </c>
      <c r="O175" s="161">
        <f t="shared" si="114"/>
        <v>0</v>
      </c>
      <c r="P175" s="161">
        <f t="shared" si="114"/>
        <v>0</v>
      </c>
      <c r="Q175" s="161">
        <f t="shared" si="114"/>
        <v>0</v>
      </c>
      <c r="R175" s="161">
        <f t="shared" si="114"/>
        <v>0</v>
      </c>
      <c r="S175" s="161">
        <f t="shared" si="115"/>
        <v>0</v>
      </c>
      <c r="T175" s="161">
        <f t="shared" si="115"/>
        <v>0</v>
      </c>
      <c r="U175" s="161">
        <f t="shared" si="115"/>
        <v>0</v>
      </c>
      <c r="V175" s="161">
        <f t="shared" si="115"/>
        <v>0</v>
      </c>
      <c r="W175" s="161">
        <f t="shared" si="115"/>
        <v>0</v>
      </c>
      <c r="X175" s="161">
        <f t="shared" si="115"/>
        <v>0</v>
      </c>
      <c r="Y175" s="161">
        <f t="shared" si="115"/>
        <v>0</v>
      </c>
      <c r="Z175" s="161">
        <f t="shared" si="115"/>
        <v>0</v>
      </c>
      <c r="AA175" s="161">
        <f t="shared" si="115"/>
        <v>0</v>
      </c>
      <c r="AB175" s="161">
        <f t="shared" si="115"/>
        <v>0</v>
      </c>
      <c r="AC175" s="161">
        <f t="shared" si="115"/>
        <v>0</v>
      </c>
      <c r="AD175" s="161">
        <f t="shared" si="115"/>
        <v>0</v>
      </c>
      <c r="AE175" s="161">
        <f t="shared" si="115"/>
        <v>0</v>
      </c>
      <c r="AF175" s="174">
        <f t="shared" si="115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14"/>
        <v>0</v>
      </c>
      <c r="D176" s="161">
        <f t="shared" si="114"/>
        <v>0</v>
      </c>
      <c r="E176" s="161">
        <f t="shared" si="114"/>
        <v>0</v>
      </c>
      <c r="F176" s="161">
        <f t="shared" si="114"/>
        <v>0</v>
      </c>
      <c r="G176" s="161">
        <f t="shared" si="114"/>
        <v>0</v>
      </c>
      <c r="H176" s="161">
        <f t="shared" si="114"/>
        <v>0</v>
      </c>
      <c r="I176" s="161">
        <f t="shared" si="114"/>
        <v>0</v>
      </c>
      <c r="J176" s="161">
        <f t="shared" si="114"/>
        <v>0</v>
      </c>
      <c r="K176" s="161">
        <f t="shared" si="114"/>
        <v>0</v>
      </c>
      <c r="L176" s="161">
        <f t="shared" si="114"/>
        <v>0</v>
      </c>
      <c r="M176" s="161">
        <f t="shared" si="114"/>
        <v>0</v>
      </c>
      <c r="N176" s="161">
        <f t="shared" si="114"/>
        <v>0</v>
      </c>
      <c r="O176" s="161">
        <f t="shared" si="114"/>
        <v>0</v>
      </c>
      <c r="P176" s="161">
        <f t="shared" si="114"/>
        <v>0</v>
      </c>
      <c r="Q176" s="161">
        <f t="shared" si="114"/>
        <v>0</v>
      </c>
      <c r="R176" s="161">
        <f t="shared" si="114"/>
        <v>0</v>
      </c>
      <c r="S176" s="161">
        <f t="shared" si="115"/>
        <v>0</v>
      </c>
      <c r="T176" s="161">
        <f t="shared" si="115"/>
        <v>0</v>
      </c>
      <c r="U176" s="161">
        <f t="shared" si="115"/>
        <v>0</v>
      </c>
      <c r="V176" s="161">
        <f t="shared" si="115"/>
        <v>0</v>
      </c>
      <c r="W176" s="161">
        <f t="shared" si="115"/>
        <v>0</v>
      </c>
      <c r="X176" s="161">
        <f t="shared" si="115"/>
        <v>0</v>
      </c>
      <c r="Y176" s="161">
        <f t="shared" si="115"/>
        <v>0</v>
      </c>
      <c r="Z176" s="161">
        <f t="shared" si="115"/>
        <v>0</v>
      </c>
      <c r="AA176" s="161">
        <f t="shared" si="115"/>
        <v>0</v>
      </c>
      <c r="AB176" s="161">
        <f t="shared" si="115"/>
        <v>0</v>
      </c>
      <c r="AC176" s="161">
        <f t="shared" si="115"/>
        <v>0</v>
      </c>
      <c r="AD176" s="161">
        <f t="shared" si="115"/>
        <v>0</v>
      </c>
      <c r="AE176" s="161">
        <f t="shared" si="115"/>
        <v>0</v>
      </c>
      <c r="AF176" s="174">
        <f t="shared" si="115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14"/>
        <v>0</v>
      </c>
      <c r="D177" s="161">
        <f t="shared" si="114"/>
        <v>0</v>
      </c>
      <c r="E177" s="161">
        <f t="shared" si="114"/>
        <v>0</v>
      </c>
      <c r="F177" s="161">
        <f t="shared" si="114"/>
        <v>0</v>
      </c>
      <c r="G177" s="161">
        <f t="shared" si="114"/>
        <v>0</v>
      </c>
      <c r="H177" s="161">
        <f t="shared" si="114"/>
        <v>0</v>
      </c>
      <c r="I177" s="161">
        <f t="shared" si="114"/>
        <v>0</v>
      </c>
      <c r="J177" s="161">
        <f t="shared" si="114"/>
        <v>0</v>
      </c>
      <c r="K177" s="161">
        <f t="shared" si="114"/>
        <v>0</v>
      </c>
      <c r="L177" s="161">
        <f t="shared" si="114"/>
        <v>0</v>
      </c>
      <c r="M177" s="161">
        <f t="shared" si="114"/>
        <v>0</v>
      </c>
      <c r="N177" s="161">
        <f t="shared" si="114"/>
        <v>0</v>
      </c>
      <c r="O177" s="161">
        <f t="shared" si="114"/>
        <v>0</v>
      </c>
      <c r="P177" s="161">
        <f t="shared" si="114"/>
        <v>0</v>
      </c>
      <c r="Q177" s="161">
        <f t="shared" si="114"/>
        <v>0</v>
      </c>
      <c r="R177" s="161">
        <f t="shared" si="114"/>
        <v>0</v>
      </c>
      <c r="S177" s="161">
        <f t="shared" si="115"/>
        <v>0</v>
      </c>
      <c r="T177" s="161">
        <f t="shared" si="115"/>
        <v>0</v>
      </c>
      <c r="U177" s="161">
        <f t="shared" si="115"/>
        <v>0</v>
      </c>
      <c r="V177" s="161">
        <f t="shared" si="115"/>
        <v>0</v>
      </c>
      <c r="W177" s="161">
        <f t="shared" si="115"/>
        <v>0</v>
      </c>
      <c r="X177" s="161">
        <f t="shared" si="115"/>
        <v>0</v>
      </c>
      <c r="Y177" s="161">
        <f t="shared" si="115"/>
        <v>0</v>
      </c>
      <c r="Z177" s="161">
        <f t="shared" si="115"/>
        <v>0</v>
      </c>
      <c r="AA177" s="161">
        <f t="shared" si="115"/>
        <v>0</v>
      </c>
      <c r="AB177" s="161">
        <f t="shared" si="115"/>
        <v>0</v>
      </c>
      <c r="AC177" s="161">
        <f t="shared" si="115"/>
        <v>0</v>
      </c>
      <c r="AD177" s="161">
        <f t="shared" si="115"/>
        <v>0</v>
      </c>
      <c r="AE177" s="161">
        <f t="shared" si="115"/>
        <v>0</v>
      </c>
      <c r="AF177" s="174">
        <f t="shared" si="115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14"/>
        <v>0</v>
      </c>
      <c r="D178" s="161">
        <f t="shared" si="114"/>
        <v>0</v>
      </c>
      <c r="E178" s="161">
        <f t="shared" si="114"/>
        <v>0</v>
      </c>
      <c r="F178" s="161">
        <f t="shared" si="114"/>
        <v>0</v>
      </c>
      <c r="G178" s="161">
        <f t="shared" si="114"/>
        <v>0</v>
      </c>
      <c r="H178" s="161">
        <f t="shared" si="114"/>
        <v>0</v>
      </c>
      <c r="I178" s="161">
        <f t="shared" si="114"/>
        <v>0</v>
      </c>
      <c r="J178" s="161">
        <f t="shared" si="114"/>
        <v>0</v>
      </c>
      <c r="K178" s="161">
        <f t="shared" si="114"/>
        <v>0</v>
      </c>
      <c r="L178" s="161">
        <f t="shared" si="114"/>
        <v>0</v>
      </c>
      <c r="M178" s="161">
        <f t="shared" si="114"/>
        <v>0</v>
      </c>
      <c r="N178" s="161">
        <f t="shared" si="114"/>
        <v>0</v>
      </c>
      <c r="O178" s="161">
        <f t="shared" si="114"/>
        <v>0</v>
      </c>
      <c r="P178" s="161">
        <f t="shared" si="114"/>
        <v>0</v>
      </c>
      <c r="Q178" s="161">
        <f t="shared" si="114"/>
        <v>0</v>
      </c>
      <c r="R178" s="161">
        <f t="shared" si="114"/>
        <v>0</v>
      </c>
      <c r="S178" s="161">
        <f t="shared" si="115"/>
        <v>0</v>
      </c>
      <c r="T178" s="161">
        <f t="shared" si="115"/>
        <v>0</v>
      </c>
      <c r="U178" s="161">
        <f t="shared" si="115"/>
        <v>0</v>
      </c>
      <c r="V178" s="161">
        <f t="shared" si="115"/>
        <v>0</v>
      </c>
      <c r="W178" s="161">
        <f t="shared" si="115"/>
        <v>0</v>
      </c>
      <c r="X178" s="161">
        <f t="shared" si="115"/>
        <v>0</v>
      </c>
      <c r="Y178" s="161">
        <f t="shared" si="115"/>
        <v>0</v>
      </c>
      <c r="Z178" s="161">
        <f t="shared" si="115"/>
        <v>0</v>
      </c>
      <c r="AA178" s="161">
        <f t="shared" si="115"/>
        <v>0</v>
      </c>
      <c r="AB178" s="161">
        <f t="shared" si="115"/>
        <v>0</v>
      </c>
      <c r="AC178" s="161">
        <f t="shared" si="115"/>
        <v>0</v>
      </c>
      <c r="AD178" s="161">
        <f t="shared" si="115"/>
        <v>0</v>
      </c>
      <c r="AE178" s="161">
        <f t="shared" si="115"/>
        <v>0</v>
      </c>
      <c r="AF178" s="174">
        <f t="shared" si="115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14"/>
        <v>0</v>
      </c>
      <c r="D179" s="161">
        <f t="shared" si="114"/>
        <v>0</v>
      </c>
      <c r="E179" s="161">
        <f t="shared" si="114"/>
        <v>0</v>
      </c>
      <c r="F179" s="161">
        <f t="shared" si="114"/>
        <v>0</v>
      </c>
      <c r="G179" s="161">
        <f t="shared" si="114"/>
        <v>0</v>
      </c>
      <c r="H179" s="161">
        <f t="shared" si="114"/>
        <v>0</v>
      </c>
      <c r="I179" s="161">
        <f t="shared" si="114"/>
        <v>0</v>
      </c>
      <c r="J179" s="161">
        <f t="shared" si="114"/>
        <v>0</v>
      </c>
      <c r="K179" s="161">
        <f t="shared" si="114"/>
        <v>0</v>
      </c>
      <c r="L179" s="161">
        <f t="shared" si="114"/>
        <v>0</v>
      </c>
      <c r="M179" s="161">
        <f t="shared" si="114"/>
        <v>0</v>
      </c>
      <c r="N179" s="161">
        <f t="shared" si="114"/>
        <v>0</v>
      </c>
      <c r="O179" s="161">
        <f t="shared" si="114"/>
        <v>0</v>
      </c>
      <c r="P179" s="161">
        <f t="shared" si="114"/>
        <v>0</v>
      </c>
      <c r="Q179" s="161">
        <f t="shared" si="114"/>
        <v>0</v>
      </c>
      <c r="R179" s="161">
        <f t="shared" si="114"/>
        <v>0</v>
      </c>
      <c r="S179" s="161">
        <f t="shared" si="115"/>
        <v>0</v>
      </c>
      <c r="T179" s="161">
        <f t="shared" si="115"/>
        <v>0</v>
      </c>
      <c r="U179" s="161">
        <f t="shared" si="115"/>
        <v>0</v>
      </c>
      <c r="V179" s="161">
        <f t="shared" si="115"/>
        <v>0</v>
      </c>
      <c r="W179" s="161">
        <f t="shared" si="115"/>
        <v>0</v>
      </c>
      <c r="X179" s="161">
        <f t="shared" si="115"/>
        <v>0</v>
      </c>
      <c r="Y179" s="161">
        <f t="shared" si="115"/>
        <v>0</v>
      </c>
      <c r="Z179" s="161">
        <f t="shared" si="115"/>
        <v>0</v>
      </c>
      <c r="AA179" s="161">
        <f t="shared" si="115"/>
        <v>0</v>
      </c>
      <c r="AB179" s="161">
        <f t="shared" si="115"/>
        <v>0</v>
      </c>
      <c r="AC179" s="161">
        <f t="shared" si="115"/>
        <v>0</v>
      </c>
      <c r="AD179" s="161">
        <f t="shared" si="115"/>
        <v>0</v>
      </c>
      <c r="AE179" s="161">
        <f t="shared" si="115"/>
        <v>0</v>
      </c>
      <c r="AF179" s="174">
        <f t="shared" si="115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14"/>
        <v>0</v>
      </c>
      <c r="D180" s="161">
        <f t="shared" si="114"/>
        <v>0</v>
      </c>
      <c r="E180" s="161">
        <f t="shared" si="114"/>
        <v>0</v>
      </c>
      <c r="F180" s="161">
        <f t="shared" si="114"/>
        <v>0</v>
      </c>
      <c r="G180" s="161">
        <f t="shared" si="114"/>
        <v>0</v>
      </c>
      <c r="H180" s="161">
        <f t="shared" si="114"/>
        <v>0</v>
      </c>
      <c r="I180" s="161">
        <f t="shared" si="114"/>
        <v>0</v>
      </c>
      <c r="J180" s="161">
        <f t="shared" si="114"/>
        <v>0</v>
      </c>
      <c r="K180" s="161">
        <f t="shared" si="114"/>
        <v>0</v>
      </c>
      <c r="L180" s="161">
        <f t="shared" si="114"/>
        <v>0</v>
      </c>
      <c r="M180" s="161">
        <f t="shared" si="114"/>
        <v>0</v>
      </c>
      <c r="N180" s="161">
        <f t="shared" si="114"/>
        <v>0</v>
      </c>
      <c r="O180" s="161">
        <f t="shared" si="114"/>
        <v>0</v>
      </c>
      <c r="P180" s="161">
        <f t="shared" si="114"/>
        <v>0</v>
      </c>
      <c r="Q180" s="161">
        <f t="shared" si="114"/>
        <v>0</v>
      </c>
      <c r="R180" s="161">
        <f t="shared" si="114"/>
        <v>0</v>
      </c>
      <c r="S180" s="161">
        <f t="shared" si="115"/>
        <v>0</v>
      </c>
      <c r="T180" s="161">
        <f t="shared" si="115"/>
        <v>0</v>
      </c>
      <c r="U180" s="161">
        <f t="shared" si="115"/>
        <v>0</v>
      </c>
      <c r="V180" s="161">
        <f t="shared" si="115"/>
        <v>0</v>
      </c>
      <c r="W180" s="161">
        <f t="shared" si="115"/>
        <v>0</v>
      </c>
      <c r="X180" s="161">
        <f t="shared" si="115"/>
        <v>0</v>
      </c>
      <c r="Y180" s="161">
        <f t="shared" si="115"/>
        <v>0</v>
      </c>
      <c r="Z180" s="161">
        <f t="shared" si="115"/>
        <v>0</v>
      </c>
      <c r="AA180" s="161">
        <f t="shared" si="115"/>
        <v>0</v>
      </c>
      <c r="AB180" s="161">
        <f t="shared" si="115"/>
        <v>0</v>
      </c>
      <c r="AC180" s="161">
        <f t="shared" si="115"/>
        <v>0</v>
      </c>
      <c r="AD180" s="161">
        <f t="shared" si="115"/>
        <v>0</v>
      </c>
      <c r="AE180" s="161">
        <f t="shared" si="115"/>
        <v>0</v>
      </c>
      <c r="AF180" s="174">
        <f t="shared" si="115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14"/>
        <v>0</v>
      </c>
      <c r="D181" s="161">
        <f t="shared" si="114"/>
        <v>0</v>
      </c>
      <c r="E181" s="161">
        <f t="shared" si="114"/>
        <v>0</v>
      </c>
      <c r="F181" s="161">
        <f t="shared" si="114"/>
        <v>0</v>
      </c>
      <c r="G181" s="161">
        <f t="shared" si="114"/>
        <v>0</v>
      </c>
      <c r="H181" s="161">
        <f t="shared" si="114"/>
        <v>0</v>
      </c>
      <c r="I181" s="161">
        <f t="shared" si="114"/>
        <v>0</v>
      </c>
      <c r="J181" s="161">
        <f t="shared" si="114"/>
        <v>0</v>
      </c>
      <c r="K181" s="161">
        <f t="shared" si="114"/>
        <v>0</v>
      </c>
      <c r="L181" s="161">
        <f t="shared" si="114"/>
        <v>0</v>
      </c>
      <c r="M181" s="161">
        <f t="shared" si="114"/>
        <v>0</v>
      </c>
      <c r="N181" s="161">
        <f t="shared" si="114"/>
        <v>0</v>
      </c>
      <c r="O181" s="161">
        <f t="shared" si="114"/>
        <v>0</v>
      </c>
      <c r="P181" s="161">
        <f t="shared" si="114"/>
        <v>0</v>
      </c>
      <c r="Q181" s="161">
        <f t="shared" si="114"/>
        <v>0</v>
      </c>
      <c r="R181" s="161">
        <f t="shared" si="114"/>
        <v>0</v>
      </c>
      <c r="S181" s="161">
        <f t="shared" si="115"/>
        <v>0</v>
      </c>
      <c r="T181" s="161">
        <f t="shared" si="115"/>
        <v>0</v>
      </c>
      <c r="U181" s="161">
        <f t="shared" si="115"/>
        <v>0</v>
      </c>
      <c r="V181" s="161">
        <f t="shared" si="115"/>
        <v>0</v>
      </c>
      <c r="W181" s="161">
        <f t="shared" si="115"/>
        <v>0</v>
      </c>
      <c r="X181" s="161">
        <f t="shared" si="115"/>
        <v>0</v>
      </c>
      <c r="Y181" s="161">
        <f t="shared" si="115"/>
        <v>0</v>
      </c>
      <c r="Z181" s="161">
        <f t="shared" si="115"/>
        <v>0</v>
      </c>
      <c r="AA181" s="161">
        <f t="shared" si="115"/>
        <v>0</v>
      </c>
      <c r="AB181" s="161">
        <f t="shared" si="115"/>
        <v>0</v>
      </c>
      <c r="AC181" s="161">
        <f t="shared" si="115"/>
        <v>0</v>
      </c>
      <c r="AD181" s="161">
        <f t="shared" si="115"/>
        <v>0</v>
      </c>
      <c r="AE181" s="161">
        <f t="shared" si="115"/>
        <v>0</v>
      </c>
      <c r="AF181" s="174">
        <f t="shared" si="115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14"/>
        <v>0</v>
      </c>
      <c r="D182" s="161">
        <f t="shared" si="114"/>
        <v>0</v>
      </c>
      <c r="E182" s="161">
        <f t="shared" si="114"/>
        <v>0</v>
      </c>
      <c r="F182" s="161">
        <f t="shared" si="114"/>
        <v>0</v>
      </c>
      <c r="G182" s="161">
        <f t="shared" si="114"/>
        <v>0</v>
      </c>
      <c r="H182" s="161">
        <f t="shared" si="114"/>
        <v>0</v>
      </c>
      <c r="I182" s="161">
        <f t="shared" si="114"/>
        <v>0</v>
      </c>
      <c r="J182" s="161">
        <f t="shared" si="114"/>
        <v>0</v>
      </c>
      <c r="K182" s="161">
        <f t="shared" si="114"/>
        <v>0</v>
      </c>
      <c r="L182" s="161">
        <f t="shared" si="114"/>
        <v>0</v>
      </c>
      <c r="M182" s="161">
        <f t="shared" si="114"/>
        <v>0</v>
      </c>
      <c r="N182" s="161">
        <f t="shared" si="114"/>
        <v>0</v>
      </c>
      <c r="O182" s="161">
        <f t="shared" si="114"/>
        <v>0</v>
      </c>
      <c r="P182" s="161">
        <f t="shared" si="114"/>
        <v>0</v>
      </c>
      <c r="Q182" s="161">
        <f t="shared" si="114"/>
        <v>0</v>
      </c>
      <c r="R182" s="161">
        <f t="shared" si="114"/>
        <v>0</v>
      </c>
      <c r="S182" s="161">
        <f t="shared" si="115"/>
        <v>0</v>
      </c>
      <c r="T182" s="161">
        <f t="shared" si="115"/>
        <v>0</v>
      </c>
      <c r="U182" s="161">
        <f t="shared" si="115"/>
        <v>0</v>
      </c>
      <c r="V182" s="161">
        <f t="shared" si="115"/>
        <v>0</v>
      </c>
      <c r="W182" s="161">
        <f t="shared" si="115"/>
        <v>0</v>
      </c>
      <c r="X182" s="161">
        <f t="shared" si="115"/>
        <v>0</v>
      </c>
      <c r="Y182" s="161">
        <f t="shared" si="115"/>
        <v>0</v>
      </c>
      <c r="Z182" s="161">
        <f t="shared" si="115"/>
        <v>0</v>
      </c>
      <c r="AA182" s="161">
        <f t="shared" si="115"/>
        <v>0</v>
      </c>
      <c r="AB182" s="161">
        <f t="shared" si="115"/>
        <v>0</v>
      </c>
      <c r="AC182" s="161">
        <f t="shared" si="115"/>
        <v>0</v>
      </c>
      <c r="AD182" s="161">
        <f t="shared" si="115"/>
        <v>0</v>
      </c>
      <c r="AE182" s="161">
        <f t="shared" si="115"/>
        <v>0</v>
      </c>
      <c r="AF182" s="174">
        <f t="shared" si="115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14"/>
        <v>0</v>
      </c>
      <c r="D183" s="161">
        <f t="shared" si="114"/>
        <v>0</v>
      </c>
      <c r="E183" s="161">
        <f t="shared" si="114"/>
        <v>0</v>
      </c>
      <c r="F183" s="161">
        <f t="shared" si="114"/>
        <v>0</v>
      </c>
      <c r="G183" s="161">
        <f t="shared" si="114"/>
        <v>0</v>
      </c>
      <c r="H183" s="161">
        <f t="shared" si="114"/>
        <v>0</v>
      </c>
      <c r="I183" s="161">
        <f t="shared" si="114"/>
        <v>0</v>
      </c>
      <c r="J183" s="161">
        <f t="shared" si="114"/>
        <v>0</v>
      </c>
      <c r="K183" s="161">
        <f t="shared" si="114"/>
        <v>0</v>
      </c>
      <c r="L183" s="161">
        <f t="shared" si="114"/>
        <v>0</v>
      </c>
      <c r="M183" s="161">
        <f t="shared" si="114"/>
        <v>0</v>
      </c>
      <c r="N183" s="161">
        <f t="shared" si="114"/>
        <v>0</v>
      </c>
      <c r="O183" s="161">
        <f t="shared" si="114"/>
        <v>0</v>
      </c>
      <c r="P183" s="161">
        <f t="shared" si="114"/>
        <v>0</v>
      </c>
      <c r="Q183" s="161">
        <f t="shared" si="114"/>
        <v>0</v>
      </c>
      <c r="R183" s="161">
        <f t="shared" si="114"/>
        <v>0</v>
      </c>
      <c r="S183" s="161">
        <f t="shared" si="115"/>
        <v>0</v>
      </c>
      <c r="T183" s="161">
        <f t="shared" si="115"/>
        <v>0</v>
      </c>
      <c r="U183" s="161">
        <f t="shared" si="115"/>
        <v>0</v>
      </c>
      <c r="V183" s="161">
        <f t="shared" si="115"/>
        <v>0</v>
      </c>
      <c r="W183" s="161">
        <f t="shared" si="115"/>
        <v>0</v>
      </c>
      <c r="X183" s="161">
        <f t="shared" si="115"/>
        <v>0</v>
      </c>
      <c r="Y183" s="161">
        <f t="shared" si="115"/>
        <v>0</v>
      </c>
      <c r="Z183" s="161">
        <f t="shared" si="115"/>
        <v>0</v>
      </c>
      <c r="AA183" s="161">
        <f t="shared" si="115"/>
        <v>0</v>
      </c>
      <c r="AB183" s="161">
        <f t="shared" si="115"/>
        <v>0</v>
      </c>
      <c r="AC183" s="161">
        <f t="shared" si="115"/>
        <v>0</v>
      </c>
      <c r="AD183" s="161">
        <f t="shared" si="115"/>
        <v>0</v>
      </c>
      <c r="AE183" s="161">
        <f t="shared" si="115"/>
        <v>0</v>
      </c>
      <c r="AF183" s="174">
        <f t="shared" si="115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14"/>
        <v>0</v>
      </c>
      <c r="D184" s="161">
        <f t="shared" si="114"/>
        <v>0</v>
      </c>
      <c r="E184" s="161">
        <f t="shared" si="114"/>
        <v>0</v>
      </c>
      <c r="F184" s="161">
        <f t="shared" si="114"/>
        <v>0</v>
      </c>
      <c r="G184" s="161">
        <f t="shared" si="114"/>
        <v>0</v>
      </c>
      <c r="H184" s="161">
        <f t="shared" si="114"/>
        <v>0</v>
      </c>
      <c r="I184" s="161">
        <f t="shared" si="114"/>
        <v>0</v>
      </c>
      <c r="J184" s="161">
        <f t="shared" si="114"/>
        <v>0</v>
      </c>
      <c r="K184" s="161">
        <f t="shared" si="114"/>
        <v>0</v>
      </c>
      <c r="L184" s="161">
        <f t="shared" si="114"/>
        <v>0</v>
      </c>
      <c r="M184" s="161">
        <f t="shared" si="114"/>
        <v>0</v>
      </c>
      <c r="N184" s="161">
        <f t="shared" si="114"/>
        <v>0</v>
      </c>
      <c r="O184" s="161">
        <f t="shared" si="114"/>
        <v>0</v>
      </c>
      <c r="P184" s="161">
        <f t="shared" si="114"/>
        <v>0</v>
      </c>
      <c r="Q184" s="161">
        <f t="shared" si="114"/>
        <v>0</v>
      </c>
      <c r="R184" s="161">
        <f t="shared" ref="R184:AF199" si="116">Q184</f>
        <v>0</v>
      </c>
      <c r="S184" s="161">
        <f t="shared" si="116"/>
        <v>0</v>
      </c>
      <c r="T184" s="161">
        <f t="shared" si="116"/>
        <v>0</v>
      </c>
      <c r="U184" s="161">
        <f t="shared" si="116"/>
        <v>0</v>
      </c>
      <c r="V184" s="161">
        <f t="shared" si="116"/>
        <v>0</v>
      </c>
      <c r="W184" s="161">
        <f t="shared" si="116"/>
        <v>0</v>
      </c>
      <c r="X184" s="161">
        <f t="shared" si="116"/>
        <v>0</v>
      </c>
      <c r="Y184" s="161">
        <f t="shared" si="116"/>
        <v>0</v>
      </c>
      <c r="Z184" s="161">
        <f t="shared" si="116"/>
        <v>0</v>
      </c>
      <c r="AA184" s="161">
        <f t="shared" si="116"/>
        <v>0</v>
      </c>
      <c r="AB184" s="161">
        <f t="shared" si="116"/>
        <v>0</v>
      </c>
      <c r="AC184" s="161">
        <f t="shared" si="115"/>
        <v>0</v>
      </c>
      <c r="AD184" s="161">
        <f t="shared" si="116"/>
        <v>0</v>
      </c>
      <c r="AE184" s="161">
        <f t="shared" si="116"/>
        <v>0</v>
      </c>
      <c r="AF184" s="174">
        <f t="shared" si="116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17">B185</f>
        <v>0</v>
      </c>
      <c r="D185" s="161">
        <f t="shared" si="117"/>
        <v>0</v>
      </c>
      <c r="E185" s="161">
        <f t="shared" si="117"/>
        <v>0</v>
      </c>
      <c r="F185" s="161">
        <f t="shared" si="117"/>
        <v>0</v>
      </c>
      <c r="G185" s="161">
        <f t="shared" si="117"/>
        <v>0</v>
      </c>
      <c r="H185" s="161">
        <f t="shared" si="117"/>
        <v>0</v>
      </c>
      <c r="I185" s="161">
        <f t="shared" si="117"/>
        <v>0</v>
      </c>
      <c r="J185" s="161">
        <f t="shared" si="117"/>
        <v>0</v>
      </c>
      <c r="K185" s="161">
        <f t="shared" si="117"/>
        <v>0</v>
      </c>
      <c r="L185" s="161">
        <f t="shared" si="117"/>
        <v>0</v>
      </c>
      <c r="M185" s="161">
        <f t="shared" si="117"/>
        <v>0</v>
      </c>
      <c r="N185" s="161">
        <f t="shared" si="117"/>
        <v>0</v>
      </c>
      <c r="O185" s="161">
        <f t="shared" si="117"/>
        <v>0</v>
      </c>
      <c r="P185" s="161">
        <f t="shared" si="117"/>
        <v>0</v>
      </c>
      <c r="Q185" s="161">
        <f t="shared" si="117"/>
        <v>0</v>
      </c>
      <c r="R185" s="161">
        <f t="shared" si="117"/>
        <v>0</v>
      </c>
      <c r="S185" s="161">
        <f t="shared" si="116"/>
        <v>0</v>
      </c>
      <c r="T185" s="161">
        <f t="shared" si="116"/>
        <v>0</v>
      </c>
      <c r="U185" s="161">
        <f t="shared" si="116"/>
        <v>0</v>
      </c>
      <c r="V185" s="161">
        <f t="shared" si="116"/>
        <v>0</v>
      </c>
      <c r="W185" s="161">
        <f t="shared" si="116"/>
        <v>0</v>
      </c>
      <c r="X185" s="161">
        <f t="shared" si="116"/>
        <v>0</v>
      </c>
      <c r="Y185" s="161">
        <f t="shared" si="116"/>
        <v>0</v>
      </c>
      <c r="Z185" s="161">
        <f t="shared" si="116"/>
        <v>0</v>
      </c>
      <c r="AA185" s="161">
        <f t="shared" si="116"/>
        <v>0</v>
      </c>
      <c r="AB185" s="161">
        <f t="shared" si="116"/>
        <v>0</v>
      </c>
      <c r="AC185" s="161">
        <f t="shared" si="116"/>
        <v>0</v>
      </c>
      <c r="AD185" s="161">
        <f t="shared" si="116"/>
        <v>0</v>
      </c>
      <c r="AE185" s="161">
        <f t="shared" si="116"/>
        <v>0</v>
      </c>
      <c r="AF185" s="174">
        <f t="shared" si="116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17"/>
        <v>0</v>
      </c>
      <c r="D186" s="161">
        <f t="shared" si="117"/>
        <v>0</v>
      </c>
      <c r="E186" s="161">
        <f t="shared" si="117"/>
        <v>0</v>
      </c>
      <c r="F186" s="161">
        <f t="shared" si="117"/>
        <v>0</v>
      </c>
      <c r="G186" s="161">
        <f t="shared" si="117"/>
        <v>0</v>
      </c>
      <c r="H186" s="161">
        <f t="shared" si="117"/>
        <v>0</v>
      </c>
      <c r="I186" s="161">
        <f t="shared" si="117"/>
        <v>0</v>
      </c>
      <c r="J186" s="161">
        <f t="shared" si="117"/>
        <v>0</v>
      </c>
      <c r="K186" s="161">
        <f t="shared" si="117"/>
        <v>0</v>
      </c>
      <c r="L186" s="161">
        <f t="shared" si="117"/>
        <v>0</v>
      </c>
      <c r="M186" s="161">
        <f t="shared" si="117"/>
        <v>0</v>
      </c>
      <c r="N186" s="161">
        <f t="shared" si="117"/>
        <v>0</v>
      </c>
      <c r="O186" s="161">
        <f t="shared" si="117"/>
        <v>0</v>
      </c>
      <c r="P186" s="161">
        <f t="shared" si="117"/>
        <v>0</v>
      </c>
      <c r="Q186" s="161">
        <f t="shared" si="117"/>
        <v>0</v>
      </c>
      <c r="R186" s="161">
        <f t="shared" si="117"/>
        <v>0</v>
      </c>
      <c r="S186" s="161">
        <f t="shared" si="116"/>
        <v>0</v>
      </c>
      <c r="T186" s="161">
        <f t="shared" si="116"/>
        <v>0</v>
      </c>
      <c r="U186" s="161">
        <f t="shared" si="116"/>
        <v>0</v>
      </c>
      <c r="V186" s="161">
        <f t="shared" si="116"/>
        <v>0</v>
      </c>
      <c r="W186" s="161">
        <f t="shared" si="116"/>
        <v>0</v>
      </c>
      <c r="X186" s="161">
        <f t="shared" si="116"/>
        <v>0</v>
      </c>
      <c r="Y186" s="161">
        <f t="shared" si="116"/>
        <v>0</v>
      </c>
      <c r="Z186" s="161">
        <f t="shared" si="116"/>
        <v>0</v>
      </c>
      <c r="AA186" s="161">
        <f t="shared" si="116"/>
        <v>0</v>
      </c>
      <c r="AB186" s="161">
        <f t="shared" si="116"/>
        <v>0</v>
      </c>
      <c r="AC186" s="161">
        <f t="shared" si="116"/>
        <v>0</v>
      </c>
      <c r="AD186" s="161">
        <f t="shared" si="116"/>
        <v>0</v>
      </c>
      <c r="AE186" s="161">
        <f t="shared" si="116"/>
        <v>0</v>
      </c>
      <c r="AF186" s="174">
        <f t="shared" si="116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17"/>
        <v>0</v>
      </c>
      <c r="D187" s="161">
        <f t="shared" si="117"/>
        <v>0</v>
      </c>
      <c r="E187" s="161">
        <f t="shared" si="117"/>
        <v>0</v>
      </c>
      <c r="F187" s="161">
        <f t="shared" si="117"/>
        <v>0</v>
      </c>
      <c r="G187" s="161">
        <f t="shared" si="117"/>
        <v>0</v>
      </c>
      <c r="H187" s="161">
        <f t="shared" si="117"/>
        <v>0</v>
      </c>
      <c r="I187" s="161">
        <f t="shared" si="117"/>
        <v>0</v>
      </c>
      <c r="J187" s="161">
        <f t="shared" si="117"/>
        <v>0</v>
      </c>
      <c r="K187" s="161">
        <f t="shared" si="117"/>
        <v>0</v>
      </c>
      <c r="L187" s="161">
        <f t="shared" si="117"/>
        <v>0</v>
      </c>
      <c r="M187" s="161">
        <f t="shared" si="117"/>
        <v>0</v>
      </c>
      <c r="N187" s="161">
        <f t="shared" si="117"/>
        <v>0</v>
      </c>
      <c r="O187" s="161">
        <f t="shared" si="117"/>
        <v>0</v>
      </c>
      <c r="P187" s="161">
        <f t="shared" si="117"/>
        <v>0</v>
      </c>
      <c r="Q187" s="161">
        <f t="shared" si="117"/>
        <v>0</v>
      </c>
      <c r="R187" s="161">
        <f t="shared" si="117"/>
        <v>0</v>
      </c>
      <c r="S187" s="161">
        <f t="shared" si="116"/>
        <v>0</v>
      </c>
      <c r="T187" s="161">
        <f t="shared" si="116"/>
        <v>0</v>
      </c>
      <c r="U187" s="161">
        <f t="shared" si="116"/>
        <v>0</v>
      </c>
      <c r="V187" s="161">
        <f t="shared" si="116"/>
        <v>0</v>
      </c>
      <c r="W187" s="161">
        <f t="shared" si="116"/>
        <v>0</v>
      </c>
      <c r="X187" s="161">
        <f t="shared" si="116"/>
        <v>0</v>
      </c>
      <c r="Y187" s="161">
        <f t="shared" si="116"/>
        <v>0</v>
      </c>
      <c r="Z187" s="161">
        <f t="shared" si="116"/>
        <v>0</v>
      </c>
      <c r="AA187" s="161">
        <f t="shared" si="116"/>
        <v>0</v>
      </c>
      <c r="AB187" s="161">
        <f t="shared" si="116"/>
        <v>0</v>
      </c>
      <c r="AC187" s="161">
        <f t="shared" si="116"/>
        <v>0</v>
      </c>
      <c r="AD187" s="161">
        <f t="shared" si="116"/>
        <v>0</v>
      </c>
      <c r="AE187" s="161">
        <f t="shared" si="116"/>
        <v>0</v>
      </c>
      <c r="AF187" s="174">
        <f t="shared" si="116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17"/>
        <v>0</v>
      </c>
      <c r="D188" s="161">
        <f t="shared" si="117"/>
        <v>0</v>
      </c>
      <c r="E188" s="161">
        <f t="shared" si="117"/>
        <v>0</v>
      </c>
      <c r="F188" s="161">
        <f t="shared" si="117"/>
        <v>0</v>
      </c>
      <c r="G188" s="161">
        <f t="shared" si="117"/>
        <v>0</v>
      </c>
      <c r="H188" s="161">
        <f t="shared" si="117"/>
        <v>0</v>
      </c>
      <c r="I188" s="161">
        <f t="shared" si="117"/>
        <v>0</v>
      </c>
      <c r="J188" s="161">
        <f t="shared" si="117"/>
        <v>0</v>
      </c>
      <c r="K188" s="161">
        <f t="shared" si="117"/>
        <v>0</v>
      </c>
      <c r="L188" s="161">
        <f t="shared" si="117"/>
        <v>0</v>
      </c>
      <c r="M188" s="161">
        <f t="shared" si="117"/>
        <v>0</v>
      </c>
      <c r="N188" s="161">
        <f t="shared" si="117"/>
        <v>0</v>
      </c>
      <c r="O188" s="161">
        <f t="shared" si="117"/>
        <v>0</v>
      </c>
      <c r="P188" s="161">
        <f t="shared" si="117"/>
        <v>0</v>
      </c>
      <c r="Q188" s="161">
        <f t="shared" si="117"/>
        <v>0</v>
      </c>
      <c r="R188" s="161">
        <f t="shared" si="117"/>
        <v>0</v>
      </c>
      <c r="S188" s="161">
        <f t="shared" si="116"/>
        <v>0</v>
      </c>
      <c r="T188" s="161">
        <f t="shared" si="116"/>
        <v>0</v>
      </c>
      <c r="U188" s="161">
        <f t="shared" si="116"/>
        <v>0</v>
      </c>
      <c r="V188" s="161">
        <f t="shared" si="116"/>
        <v>0</v>
      </c>
      <c r="W188" s="161">
        <f t="shared" si="116"/>
        <v>0</v>
      </c>
      <c r="X188" s="161">
        <f t="shared" si="116"/>
        <v>0</v>
      </c>
      <c r="Y188" s="161">
        <f t="shared" si="116"/>
        <v>0</v>
      </c>
      <c r="Z188" s="161">
        <f t="shared" si="116"/>
        <v>0</v>
      </c>
      <c r="AA188" s="161">
        <f t="shared" si="116"/>
        <v>0</v>
      </c>
      <c r="AB188" s="161">
        <f t="shared" si="116"/>
        <v>0</v>
      </c>
      <c r="AC188" s="161">
        <f t="shared" si="116"/>
        <v>0</v>
      </c>
      <c r="AD188" s="161">
        <f t="shared" si="116"/>
        <v>0</v>
      </c>
      <c r="AE188" s="161">
        <f t="shared" si="116"/>
        <v>0</v>
      </c>
      <c r="AF188" s="174">
        <f t="shared" si="116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17"/>
        <v>0</v>
      </c>
      <c r="D189" s="161">
        <f t="shared" si="117"/>
        <v>0</v>
      </c>
      <c r="E189" s="161">
        <f t="shared" si="117"/>
        <v>0</v>
      </c>
      <c r="F189" s="161">
        <f t="shared" si="117"/>
        <v>0</v>
      </c>
      <c r="G189" s="161">
        <f t="shared" si="117"/>
        <v>0</v>
      </c>
      <c r="H189" s="161">
        <f t="shared" si="117"/>
        <v>0</v>
      </c>
      <c r="I189" s="161">
        <f t="shared" si="117"/>
        <v>0</v>
      </c>
      <c r="J189" s="161">
        <f t="shared" si="117"/>
        <v>0</v>
      </c>
      <c r="K189" s="161">
        <f t="shared" si="117"/>
        <v>0</v>
      </c>
      <c r="L189" s="161">
        <f t="shared" si="117"/>
        <v>0</v>
      </c>
      <c r="M189" s="161">
        <f t="shared" si="117"/>
        <v>0</v>
      </c>
      <c r="N189" s="161">
        <f t="shared" si="117"/>
        <v>0</v>
      </c>
      <c r="O189" s="161">
        <f t="shared" si="117"/>
        <v>0</v>
      </c>
      <c r="P189" s="161">
        <f t="shared" si="117"/>
        <v>0</v>
      </c>
      <c r="Q189" s="161">
        <f t="shared" si="117"/>
        <v>0</v>
      </c>
      <c r="R189" s="161">
        <f t="shared" si="117"/>
        <v>0</v>
      </c>
      <c r="S189" s="161">
        <f t="shared" si="116"/>
        <v>0</v>
      </c>
      <c r="T189" s="161">
        <f t="shared" si="116"/>
        <v>0</v>
      </c>
      <c r="U189" s="161">
        <f t="shared" si="116"/>
        <v>0</v>
      </c>
      <c r="V189" s="161">
        <f t="shared" si="116"/>
        <v>0</v>
      </c>
      <c r="W189" s="161">
        <f t="shared" si="116"/>
        <v>0</v>
      </c>
      <c r="X189" s="161">
        <f t="shared" si="116"/>
        <v>0</v>
      </c>
      <c r="Y189" s="161">
        <f t="shared" si="116"/>
        <v>0</v>
      </c>
      <c r="Z189" s="161">
        <f t="shared" si="116"/>
        <v>0</v>
      </c>
      <c r="AA189" s="161">
        <f t="shared" si="116"/>
        <v>0</v>
      </c>
      <c r="AB189" s="161">
        <f t="shared" si="116"/>
        <v>0</v>
      </c>
      <c r="AC189" s="161">
        <f t="shared" si="116"/>
        <v>0</v>
      </c>
      <c r="AD189" s="161">
        <f t="shared" si="116"/>
        <v>0</v>
      </c>
      <c r="AE189" s="161">
        <f t="shared" si="116"/>
        <v>0</v>
      </c>
      <c r="AF189" s="174">
        <f t="shared" si="116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17"/>
        <v>0</v>
      </c>
      <c r="D190" s="161">
        <f t="shared" si="117"/>
        <v>0</v>
      </c>
      <c r="E190" s="161">
        <f t="shared" si="117"/>
        <v>0</v>
      </c>
      <c r="F190" s="161">
        <f t="shared" si="117"/>
        <v>0</v>
      </c>
      <c r="G190" s="161">
        <f t="shared" si="117"/>
        <v>0</v>
      </c>
      <c r="H190" s="161">
        <f t="shared" si="117"/>
        <v>0</v>
      </c>
      <c r="I190" s="161">
        <f t="shared" si="117"/>
        <v>0</v>
      </c>
      <c r="J190" s="161">
        <f t="shared" si="117"/>
        <v>0</v>
      </c>
      <c r="K190" s="161">
        <f t="shared" si="117"/>
        <v>0</v>
      </c>
      <c r="L190" s="161">
        <f t="shared" si="117"/>
        <v>0</v>
      </c>
      <c r="M190" s="161">
        <f t="shared" si="117"/>
        <v>0</v>
      </c>
      <c r="N190" s="161">
        <f t="shared" si="117"/>
        <v>0</v>
      </c>
      <c r="O190" s="161">
        <f t="shared" si="117"/>
        <v>0</v>
      </c>
      <c r="P190" s="161">
        <f t="shared" si="117"/>
        <v>0</v>
      </c>
      <c r="Q190" s="161">
        <f t="shared" si="117"/>
        <v>0</v>
      </c>
      <c r="R190" s="161">
        <f t="shared" si="117"/>
        <v>0</v>
      </c>
      <c r="S190" s="161">
        <f t="shared" si="116"/>
        <v>0</v>
      </c>
      <c r="T190" s="161">
        <f t="shared" si="116"/>
        <v>0</v>
      </c>
      <c r="U190" s="161">
        <f t="shared" si="116"/>
        <v>0</v>
      </c>
      <c r="V190" s="161">
        <f t="shared" si="116"/>
        <v>0</v>
      </c>
      <c r="W190" s="161">
        <f t="shared" si="116"/>
        <v>0</v>
      </c>
      <c r="X190" s="161">
        <f t="shared" si="116"/>
        <v>0</v>
      </c>
      <c r="Y190" s="161">
        <f t="shared" si="116"/>
        <v>0</v>
      </c>
      <c r="Z190" s="161">
        <f t="shared" si="116"/>
        <v>0</v>
      </c>
      <c r="AA190" s="161">
        <f t="shared" si="116"/>
        <v>0</v>
      </c>
      <c r="AB190" s="161">
        <f t="shared" si="116"/>
        <v>0</v>
      </c>
      <c r="AC190" s="161">
        <f t="shared" si="116"/>
        <v>0</v>
      </c>
      <c r="AD190" s="161">
        <f t="shared" si="116"/>
        <v>0</v>
      </c>
      <c r="AE190" s="161">
        <f t="shared" si="116"/>
        <v>0</v>
      </c>
      <c r="AF190" s="174">
        <f t="shared" si="116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17"/>
        <v>0</v>
      </c>
      <c r="D191" s="161">
        <f t="shared" si="117"/>
        <v>0</v>
      </c>
      <c r="E191" s="161">
        <f t="shared" si="117"/>
        <v>0</v>
      </c>
      <c r="F191" s="161">
        <f t="shared" si="117"/>
        <v>0</v>
      </c>
      <c r="G191" s="161">
        <f t="shared" si="117"/>
        <v>0</v>
      </c>
      <c r="H191" s="161">
        <f t="shared" si="117"/>
        <v>0</v>
      </c>
      <c r="I191" s="161">
        <f t="shared" si="117"/>
        <v>0</v>
      </c>
      <c r="J191" s="161">
        <f t="shared" si="117"/>
        <v>0</v>
      </c>
      <c r="K191" s="161">
        <f t="shared" si="117"/>
        <v>0</v>
      </c>
      <c r="L191" s="161">
        <f t="shared" si="117"/>
        <v>0</v>
      </c>
      <c r="M191" s="161">
        <f t="shared" si="117"/>
        <v>0</v>
      </c>
      <c r="N191" s="161">
        <f t="shared" si="117"/>
        <v>0</v>
      </c>
      <c r="O191" s="161">
        <f t="shared" si="117"/>
        <v>0</v>
      </c>
      <c r="P191" s="161">
        <f t="shared" si="117"/>
        <v>0</v>
      </c>
      <c r="Q191" s="161">
        <f t="shared" si="117"/>
        <v>0</v>
      </c>
      <c r="R191" s="161">
        <f t="shared" si="117"/>
        <v>0</v>
      </c>
      <c r="S191" s="161">
        <f t="shared" si="116"/>
        <v>0</v>
      </c>
      <c r="T191" s="161">
        <f t="shared" si="116"/>
        <v>0</v>
      </c>
      <c r="U191" s="161">
        <f t="shared" si="116"/>
        <v>0</v>
      </c>
      <c r="V191" s="161">
        <f t="shared" si="116"/>
        <v>0</v>
      </c>
      <c r="W191" s="161">
        <f t="shared" si="116"/>
        <v>0</v>
      </c>
      <c r="X191" s="161">
        <f t="shared" si="116"/>
        <v>0</v>
      </c>
      <c r="Y191" s="161">
        <f t="shared" si="116"/>
        <v>0</v>
      </c>
      <c r="Z191" s="161">
        <f t="shared" si="116"/>
        <v>0</v>
      </c>
      <c r="AA191" s="161">
        <f t="shared" si="116"/>
        <v>0</v>
      </c>
      <c r="AB191" s="161">
        <f t="shared" si="116"/>
        <v>0</v>
      </c>
      <c r="AC191" s="161">
        <f t="shared" si="116"/>
        <v>0</v>
      </c>
      <c r="AD191" s="161">
        <f t="shared" si="116"/>
        <v>0</v>
      </c>
      <c r="AE191" s="161">
        <f t="shared" si="116"/>
        <v>0</v>
      </c>
      <c r="AF191" s="174">
        <f t="shared" si="116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17"/>
        <v>0</v>
      </c>
      <c r="D192" s="161">
        <f t="shared" si="117"/>
        <v>0</v>
      </c>
      <c r="E192" s="161">
        <f t="shared" si="117"/>
        <v>0</v>
      </c>
      <c r="F192" s="161">
        <f t="shared" si="117"/>
        <v>0</v>
      </c>
      <c r="G192" s="161">
        <f t="shared" si="117"/>
        <v>0</v>
      </c>
      <c r="H192" s="161">
        <f t="shared" si="117"/>
        <v>0</v>
      </c>
      <c r="I192" s="161">
        <f t="shared" si="117"/>
        <v>0</v>
      </c>
      <c r="J192" s="161">
        <f t="shared" si="117"/>
        <v>0</v>
      </c>
      <c r="K192" s="161">
        <f t="shared" si="117"/>
        <v>0</v>
      </c>
      <c r="L192" s="161">
        <f t="shared" si="117"/>
        <v>0</v>
      </c>
      <c r="M192" s="161">
        <f t="shared" si="117"/>
        <v>0</v>
      </c>
      <c r="N192" s="161">
        <f t="shared" si="117"/>
        <v>0</v>
      </c>
      <c r="O192" s="161">
        <f t="shared" si="117"/>
        <v>0</v>
      </c>
      <c r="P192" s="161">
        <f t="shared" si="117"/>
        <v>0</v>
      </c>
      <c r="Q192" s="161">
        <f t="shared" si="117"/>
        <v>0</v>
      </c>
      <c r="R192" s="161">
        <f t="shared" si="117"/>
        <v>0</v>
      </c>
      <c r="S192" s="161">
        <f t="shared" si="116"/>
        <v>0</v>
      </c>
      <c r="T192" s="161">
        <f t="shared" si="116"/>
        <v>0</v>
      </c>
      <c r="U192" s="161">
        <f t="shared" si="116"/>
        <v>0</v>
      </c>
      <c r="V192" s="161">
        <f t="shared" si="116"/>
        <v>0</v>
      </c>
      <c r="W192" s="161">
        <f t="shared" si="116"/>
        <v>0</v>
      </c>
      <c r="X192" s="161">
        <f t="shared" si="116"/>
        <v>0</v>
      </c>
      <c r="Y192" s="161">
        <f t="shared" si="116"/>
        <v>0</v>
      </c>
      <c r="Z192" s="161">
        <f t="shared" si="116"/>
        <v>0</v>
      </c>
      <c r="AA192" s="161">
        <f t="shared" si="116"/>
        <v>0</v>
      </c>
      <c r="AB192" s="161">
        <f t="shared" si="116"/>
        <v>0</v>
      </c>
      <c r="AC192" s="161">
        <f t="shared" si="116"/>
        <v>0</v>
      </c>
      <c r="AD192" s="161">
        <f t="shared" si="116"/>
        <v>0</v>
      </c>
      <c r="AE192" s="161">
        <f t="shared" si="116"/>
        <v>0</v>
      </c>
      <c r="AF192" s="174">
        <f t="shared" si="116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17"/>
        <v>0</v>
      </c>
      <c r="D193" s="161">
        <f t="shared" si="117"/>
        <v>0</v>
      </c>
      <c r="E193" s="161">
        <f t="shared" si="117"/>
        <v>0</v>
      </c>
      <c r="F193" s="161">
        <f t="shared" si="117"/>
        <v>0</v>
      </c>
      <c r="G193" s="161">
        <f t="shared" si="117"/>
        <v>0</v>
      </c>
      <c r="H193" s="161">
        <f t="shared" si="117"/>
        <v>0</v>
      </c>
      <c r="I193" s="161">
        <f t="shared" si="117"/>
        <v>0</v>
      </c>
      <c r="J193" s="161">
        <f t="shared" si="117"/>
        <v>0</v>
      </c>
      <c r="K193" s="161">
        <f t="shared" si="117"/>
        <v>0</v>
      </c>
      <c r="L193" s="161">
        <f t="shared" si="117"/>
        <v>0</v>
      </c>
      <c r="M193" s="161">
        <f t="shared" si="117"/>
        <v>0</v>
      </c>
      <c r="N193" s="161">
        <f t="shared" si="117"/>
        <v>0</v>
      </c>
      <c r="O193" s="161">
        <f t="shared" si="117"/>
        <v>0</v>
      </c>
      <c r="P193" s="161">
        <f t="shared" si="117"/>
        <v>0</v>
      </c>
      <c r="Q193" s="161">
        <f t="shared" si="117"/>
        <v>0</v>
      </c>
      <c r="R193" s="161">
        <f t="shared" si="117"/>
        <v>0</v>
      </c>
      <c r="S193" s="161">
        <f t="shared" si="116"/>
        <v>0</v>
      </c>
      <c r="T193" s="161">
        <f t="shared" si="116"/>
        <v>0</v>
      </c>
      <c r="U193" s="161">
        <f t="shared" si="116"/>
        <v>0</v>
      </c>
      <c r="V193" s="161">
        <f t="shared" si="116"/>
        <v>0</v>
      </c>
      <c r="W193" s="161">
        <f t="shared" si="116"/>
        <v>0</v>
      </c>
      <c r="X193" s="161">
        <f t="shared" si="116"/>
        <v>0</v>
      </c>
      <c r="Y193" s="161">
        <f t="shared" si="116"/>
        <v>0</v>
      </c>
      <c r="Z193" s="161">
        <f t="shared" si="116"/>
        <v>0</v>
      </c>
      <c r="AA193" s="161">
        <f t="shared" si="116"/>
        <v>0</v>
      </c>
      <c r="AB193" s="161">
        <f t="shared" si="116"/>
        <v>0</v>
      </c>
      <c r="AC193" s="161">
        <f t="shared" si="116"/>
        <v>0</v>
      </c>
      <c r="AD193" s="161">
        <f t="shared" si="116"/>
        <v>0</v>
      </c>
      <c r="AE193" s="161">
        <f t="shared" si="116"/>
        <v>0</v>
      </c>
      <c r="AF193" s="174">
        <f t="shared" si="116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17"/>
        <v>0</v>
      </c>
      <c r="D194" s="161">
        <f t="shared" si="117"/>
        <v>0</v>
      </c>
      <c r="E194" s="161">
        <f t="shared" si="117"/>
        <v>0</v>
      </c>
      <c r="F194" s="161">
        <f t="shared" si="117"/>
        <v>0</v>
      </c>
      <c r="G194" s="161">
        <f t="shared" si="117"/>
        <v>0</v>
      </c>
      <c r="H194" s="161">
        <f t="shared" si="117"/>
        <v>0</v>
      </c>
      <c r="I194" s="161">
        <f t="shared" si="117"/>
        <v>0</v>
      </c>
      <c r="J194" s="161">
        <f t="shared" si="117"/>
        <v>0</v>
      </c>
      <c r="K194" s="161">
        <f t="shared" si="117"/>
        <v>0</v>
      </c>
      <c r="L194" s="161">
        <f t="shared" si="117"/>
        <v>0</v>
      </c>
      <c r="M194" s="161">
        <f t="shared" si="117"/>
        <v>0</v>
      </c>
      <c r="N194" s="161">
        <f t="shared" si="117"/>
        <v>0</v>
      </c>
      <c r="O194" s="161">
        <f t="shared" si="117"/>
        <v>0</v>
      </c>
      <c r="P194" s="161">
        <f t="shared" si="117"/>
        <v>0</v>
      </c>
      <c r="Q194" s="161">
        <f t="shared" si="117"/>
        <v>0</v>
      </c>
      <c r="R194" s="161">
        <f t="shared" si="117"/>
        <v>0</v>
      </c>
      <c r="S194" s="161">
        <f t="shared" si="116"/>
        <v>0</v>
      </c>
      <c r="T194" s="161">
        <f t="shared" si="116"/>
        <v>0</v>
      </c>
      <c r="U194" s="161">
        <f t="shared" si="116"/>
        <v>0</v>
      </c>
      <c r="V194" s="161">
        <f t="shared" si="116"/>
        <v>0</v>
      </c>
      <c r="W194" s="161">
        <f t="shared" si="116"/>
        <v>0</v>
      </c>
      <c r="X194" s="161">
        <f t="shared" si="116"/>
        <v>0</v>
      </c>
      <c r="Y194" s="161">
        <f t="shared" si="116"/>
        <v>0</v>
      </c>
      <c r="Z194" s="161">
        <f t="shared" si="116"/>
        <v>0</v>
      </c>
      <c r="AA194" s="161">
        <f t="shared" si="116"/>
        <v>0</v>
      </c>
      <c r="AB194" s="161">
        <f t="shared" si="116"/>
        <v>0</v>
      </c>
      <c r="AC194" s="161">
        <f t="shared" si="116"/>
        <v>0</v>
      </c>
      <c r="AD194" s="161">
        <f t="shared" si="116"/>
        <v>0</v>
      </c>
      <c r="AE194" s="161">
        <f t="shared" si="116"/>
        <v>0</v>
      </c>
      <c r="AF194" s="174">
        <f t="shared" si="116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17"/>
        <v>0</v>
      </c>
      <c r="D195" s="161">
        <f t="shared" si="117"/>
        <v>0</v>
      </c>
      <c r="E195" s="161">
        <f t="shared" si="117"/>
        <v>0</v>
      </c>
      <c r="F195" s="161">
        <f t="shared" si="117"/>
        <v>0</v>
      </c>
      <c r="G195" s="161">
        <f t="shared" si="117"/>
        <v>0</v>
      </c>
      <c r="H195" s="161">
        <f t="shared" si="117"/>
        <v>0</v>
      </c>
      <c r="I195" s="161">
        <f t="shared" si="117"/>
        <v>0</v>
      </c>
      <c r="J195" s="161">
        <f t="shared" si="117"/>
        <v>0</v>
      </c>
      <c r="K195" s="161">
        <f t="shared" si="117"/>
        <v>0</v>
      </c>
      <c r="L195" s="161">
        <f t="shared" si="117"/>
        <v>0</v>
      </c>
      <c r="M195" s="161">
        <f t="shared" si="117"/>
        <v>0</v>
      </c>
      <c r="N195" s="161">
        <f t="shared" si="117"/>
        <v>0</v>
      </c>
      <c r="O195" s="161">
        <f t="shared" si="117"/>
        <v>0</v>
      </c>
      <c r="P195" s="161">
        <f t="shared" si="117"/>
        <v>0</v>
      </c>
      <c r="Q195" s="161">
        <f t="shared" si="117"/>
        <v>0</v>
      </c>
      <c r="R195" s="161">
        <f t="shared" si="117"/>
        <v>0</v>
      </c>
      <c r="S195" s="161">
        <f t="shared" si="116"/>
        <v>0</v>
      </c>
      <c r="T195" s="161">
        <f t="shared" si="116"/>
        <v>0</v>
      </c>
      <c r="U195" s="161">
        <f t="shared" si="116"/>
        <v>0</v>
      </c>
      <c r="V195" s="161">
        <f t="shared" si="116"/>
        <v>0</v>
      </c>
      <c r="W195" s="161">
        <f t="shared" si="116"/>
        <v>0</v>
      </c>
      <c r="X195" s="161">
        <f t="shared" si="116"/>
        <v>0</v>
      </c>
      <c r="Y195" s="161">
        <f t="shared" si="116"/>
        <v>0</v>
      </c>
      <c r="Z195" s="161">
        <f t="shared" si="116"/>
        <v>0</v>
      </c>
      <c r="AA195" s="161">
        <f t="shared" si="116"/>
        <v>0</v>
      </c>
      <c r="AB195" s="161">
        <f t="shared" si="116"/>
        <v>0</v>
      </c>
      <c r="AC195" s="161">
        <f t="shared" si="116"/>
        <v>0</v>
      </c>
      <c r="AD195" s="161">
        <f t="shared" si="116"/>
        <v>0</v>
      </c>
      <c r="AE195" s="161">
        <f t="shared" si="116"/>
        <v>0</v>
      </c>
      <c r="AF195" s="174">
        <f t="shared" si="116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17"/>
        <v>0</v>
      </c>
      <c r="D196" s="161">
        <f t="shared" si="117"/>
        <v>0</v>
      </c>
      <c r="E196" s="161">
        <f t="shared" si="117"/>
        <v>0</v>
      </c>
      <c r="F196" s="161">
        <f t="shared" si="117"/>
        <v>0</v>
      </c>
      <c r="G196" s="161">
        <f t="shared" si="117"/>
        <v>0</v>
      </c>
      <c r="H196" s="161">
        <f t="shared" si="117"/>
        <v>0</v>
      </c>
      <c r="I196" s="161">
        <f t="shared" si="117"/>
        <v>0</v>
      </c>
      <c r="J196" s="161">
        <f t="shared" si="117"/>
        <v>0</v>
      </c>
      <c r="K196" s="161">
        <f t="shared" si="117"/>
        <v>0</v>
      </c>
      <c r="L196" s="161">
        <f t="shared" si="117"/>
        <v>0</v>
      </c>
      <c r="M196" s="161">
        <f t="shared" si="117"/>
        <v>0</v>
      </c>
      <c r="N196" s="161">
        <f t="shared" si="117"/>
        <v>0</v>
      </c>
      <c r="O196" s="161">
        <f t="shared" si="117"/>
        <v>0</v>
      </c>
      <c r="P196" s="161">
        <f t="shared" si="117"/>
        <v>0</v>
      </c>
      <c r="Q196" s="161">
        <f t="shared" si="117"/>
        <v>0</v>
      </c>
      <c r="R196" s="161">
        <f t="shared" si="117"/>
        <v>0</v>
      </c>
      <c r="S196" s="161">
        <f t="shared" si="116"/>
        <v>0</v>
      </c>
      <c r="T196" s="161">
        <f t="shared" si="116"/>
        <v>0</v>
      </c>
      <c r="U196" s="161">
        <f t="shared" si="116"/>
        <v>0</v>
      </c>
      <c r="V196" s="161">
        <f t="shared" si="116"/>
        <v>0</v>
      </c>
      <c r="W196" s="161">
        <f t="shared" si="116"/>
        <v>0</v>
      </c>
      <c r="X196" s="161">
        <f t="shared" si="116"/>
        <v>0</v>
      </c>
      <c r="Y196" s="161">
        <f t="shared" si="116"/>
        <v>0</v>
      </c>
      <c r="Z196" s="161">
        <f t="shared" si="116"/>
        <v>0</v>
      </c>
      <c r="AA196" s="161">
        <f t="shared" si="116"/>
        <v>0</v>
      </c>
      <c r="AB196" s="161">
        <f t="shared" si="116"/>
        <v>0</v>
      </c>
      <c r="AC196" s="161">
        <f t="shared" si="116"/>
        <v>0</v>
      </c>
      <c r="AD196" s="161">
        <f t="shared" si="116"/>
        <v>0</v>
      </c>
      <c r="AE196" s="161">
        <f t="shared" si="116"/>
        <v>0</v>
      </c>
      <c r="AF196" s="174">
        <f t="shared" si="116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17"/>
        <v>0</v>
      </c>
      <c r="D197" s="161">
        <f t="shared" si="117"/>
        <v>0</v>
      </c>
      <c r="E197" s="161">
        <f t="shared" si="117"/>
        <v>0</v>
      </c>
      <c r="F197" s="161">
        <f t="shared" si="117"/>
        <v>0</v>
      </c>
      <c r="G197" s="161">
        <f t="shared" si="117"/>
        <v>0</v>
      </c>
      <c r="H197" s="161">
        <f t="shared" si="117"/>
        <v>0</v>
      </c>
      <c r="I197" s="161">
        <f t="shared" si="117"/>
        <v>0</v>
      </c>
      <c r="J197" s="161">
        <f t="shared" si="117"/>
        <v>0</v>
      </c>
      <c r="K197" s="161">
        <f t="shared" si="117"/>
        <v>0</v>
      </c>
      <c r="L197" s="161">
        <f t="shared" si="117"/>
        <v>0</v>
      </c>
      <c r="M197" s="161">
        <f t="shared" si="117"/>
        <v>0</v>
      </c>
      <c r="N197" s="161">
        <f t="shared" si="117"/>
        <v>0</v>
      </c>
      <c r="O197" s="161">
        <f t="shared" si="117"/>
        <v>0</v>
      </c>
      <c r="P197" s="161">
        <f t="shared" si="117"/>
        <v>0</v>
      </c>
      <c r="Q197" s="161">
        <f t="shared" si="117"/>
        <v>0</v>
      </c>
      <c r="R197" s="161">
        <f t="shared" si="117"/>
        <v>0</v>
      </c>
      <c r="S197" s="161">
        <f t="shared" si="116"/>
        <v>0</v>
      </c>
      <c r="T197" s="161">
        <f t="shared" si="116"/>
        <v>0</v>
      </c>
      <c r="U197" s="161">
        <f t="shared" si="116"/>
        <v>0</v>
      </c>
      <c r="V197" s="161">
        <f t="shared" si="116"/>
        <v>0</v>
      </c>
      <c r="W197" s="161">
        <f t="shared" si="116"/>
        <v>0</v>
      </c>
      <c r="X197" s="161">
        <f t="shared" si="116"/>
        <v>0</v>
      </c>
      <c r="Y197" s="161">
        <f t="shared" si="116"/>
        <v>0</v>
      </c>
      <c r="Z197" s="161">
        <f t="shared" si="116"/>
        <v>0</v>
      </c>
      <c r="AA197" s="161">
        <f t="shared" si="116"/>
        <v>0</v>
      </c>
      <c r="AB197" s="161">
        <f t="shared" si="116"/>
        <v>0</v>
      </c>
      <c r="AC197" s="161">
        <f t="shared" si="116"/>
        <v>0</v>
      </c>
      <c r="AD197" s="161">
        <f t="shared" si="116"/>
        <v>0</v>
      </c>
      <c r="AE197" s="161">
        <f t="shared" si="116"/>
        <v>0</v>
      </c>
      <c r="AF197" s="174">
        <f t="shared" si="116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17"/>
        <v>0</v>
      </c>
      <c r="D198" s="161">
        <f t="shared" si="117"/>
        <v>0</v>
      </c>
      <c r="E198" s="161">
        <f t="shared" si="117"/>
        <v>0</v>
      </c>
      <c r="F198" s="161">
        <f t="shared" si="117"/>
        <v>0</v>
      </c>
      <c r="G198" s="161">
        <f t="shared" si="117"/>
        <v>0</v>
      </c>
      <c r="H198" s="161">
        <f t="shared" si="117"/>
        <v>0</v>
      </c>
      <c r="I198" s="161">
        <f t="shared" si="117"/>
        <v>0</v>
      </c>
      <c r="J198" s="161">
        <f t="shared" si="117"/>
        <v>0</v>
      </c>
      <c r="K198" s="161">
        <f t="shared" si="117"/>
        <v>0</v>
      </c>
      <c r="L198" s="161">
        <f t="shared" si="117"/>
        <v>0</v>
      </c>
      <c r="M198" s="161">
        <f t="shared" si="117"/>
        <v>0</v>
      </c>
      <c r="N198" s="161">
        <f t="shared" si="117"/>
        <v>0</v>
      </c>
      <c r="O198" s="161">
        <f t="shared" si="117"/>
        <v>0</v>
      </c>
      <c r="P198" s="161">
        <f t="shared" si="117"/>
        <v>0</v>
      </c>
      <c r="Q198" s="161">
        <f t="shared" si="117"/>
        <v>0</v>
      </c>
      <c r="R198" s="161">
        <f t="shared" si="117"/>
        <v>0</v>
      </c>
      <c r="S198" s="161">
        <f t="shared" si="116"/>
        <v>0</v>
      </c>
      <c r="T198" s="161">
        <f t="shared" si="116"/>
        <v>0</v>
      </c>
      <c r="U198" s="161">
        <f t="shared" si="116"/>
        <v>0</v>
      </c>
      <c r="V198" s="161">
        <f t="shared" si="116"/>
        <v>0</v>
      </c>
      <c r="W198" s="161">
        <f t="shared" si="116"/>
        <v>0</v>
      </c>
      <c r="X198" s="161">
        <f t="shared" si="116"/>
        <v>0</v>
      </c>
      <c r="Y198" s="161">
        <f t="shared" si="116"/>
        <v>0</v>
      </c>
      <c r="Z198" s="161">
        <f t="shared" si="116"/>
        <v>0</v>
      </c>
      <c r="AA198" s="161">
        <f t="shared" si="116"/>
        <v>0</v>
      </c>
      <c r="AB198" s="161">
        <f t="shared" si="116"/>
        <v>0</v>
      </c>
      <c r="AC198" s="161">
        <f t="shared" si="116"/>
        <v>0</v>
      </c>
      <c r="AD198" s="161">
        <f t="shared" si="116"/>
        <v>0</v>
      </c>
      <c r="AE198" s="161">
        <f t="shared" si="116"/>
        <v>0</v>
      </c>
      <c r="AF198" s="174">
        <f t="shared" si="116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17"/>
        <v>0</v>
      </c>
      <c r="D199" s="161">
        <f t="shared" si="117"/>
        <v>0</v>
      </c>
      <c r="E199" s="161">
        <f t="shared" si="117"/>
        <v>0</v>
      </c>
      <c r="F199" s="161">
        <f t="shared" si="117"/>
        <v>0</v>
      </c>
      <c r="G199" s="161">
        <f t="shared" si="117"/>
        <v>0</v>
      </c>
      <c r="H199" s="161">
        <f t="shared" si="117"/>
        <v>0</v>
      </c>
      <c r="I199" s="161">
        <f t="shared" si="117"/>
        <v>0</v>
      </c>
      <c r="J199" s="161">
        <f t="shared" si="117"/>
        <v>0</v>
      </c>
      <c r="K199" s="161">
        <f t="shared" si="117"/>
        <v>0</v>
      </c>
      <c r="L199" s="161">
        <f t="shared" si="117"/>
        <v>0</v>
      </c>
      <c r="M199" s="161">
        <f t="shared" si="117"/>
        <v>0</v>
      </c>
      <c r="N199" s="161">
        <f t="shared" si="117"/>
        <v>0</v>
      </c>
      <c r="O199" s="161">
        <f t="shared" si="117"/>
        <v>0</v>
      </c>
      <c r="P199" s="161">
        <f t="shared" si="117"/>
        <v>0</v>
      </c>
      <c r="Q199" s="161">
        <f t="shared" si="117"/>
        <v>0</v>
      </c>
      <c r="R199" s="161">
        <f t="shared" si="117"/>
        <v>0</v>
      </c>
      <c r="S199" s="161">
        <f t="shared" si="116"/>
        <v>0</v>
      </c>
      <c r="T199" s="161">
        <f t="shared" si="116"/>
        <v>0</v>
      </c>
      <c r="U199" s="161">
        <f t="shared" si="116"/>
        <v>0</v>
      </c>
      <c r="V199" s="161">
        <f t="shared" si="116"/>
        <v>0</v>
      </c>
      <c r="W199" s="161">
        <f t="shared" si="116"/>
        <v>0</v>
      </c>
      <c r="X199" s="161">
        <f t="shared" si="116"/>
        <v>0</v>
      </c>
      <c r="Y199" s="161">
        <f t="shared" si="116"/>
        <v>0</v>
      </c>
      <c r="Z199" s="161">
        <f t="shared" si="116"/>
        <v>0</v>
      </c>
      <c r="AA199" s="161">
        <f t="shared" si="116"/>
        <v>0</v>
      </c>
      <c r="AB199" s="161">
        <f t="shared" si="116"/>
        <v>0</v>
      </c>
      <c r="AC199" s="161">
        <f t="shared" si="116"/>
        <v>0</v>
      </c>
      <c r="AD199" s="161">
        <f t="shared" si="116"/>
        <v>0</v>
      </c>
      <c r="AE199" s="161">
        <f t="shared" si="116"/>
        <v>0</v>
      </c>
      <c r="AF199" s="174">
        <f t="shared" si="116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17"/>
        <v>0</v>
      </c>
      <c r="D200" s="161">
        <f t="shared" si="117"/>
        <v>0</v>
      </c>
      <c r="E200" s="161">
        <f t="shared" si="117"/>
        <v>0</v>
      </c>
      <c r="F200" s="161">
        <f t="shared" si="117"/>
        <v>0</v>
      </c>
      <c r="G200" s="161">
        <f t="shared" si="117"/>
        <v>0</v>
      </c>
      <c r="H200" s="161">
        <f t="shared" si="117"/>
        <v>0</v>
      </c>
      <c r="I200" s="161">
        <f t="shared" si="117"/>
        <v>0</v>
      </c>
      <c r="J200" s="161">
        <f t="shared" si="117"/>
        <v>0</v>
      </c>
      <c r="K200" s="161">
        <f t="shared" si="117"/>
        <v>0</v>
      </c>
      <c r="L200" s="161">
        <f t="shared" si="117"/>
        <v>0</v>
      </c>
      <c r="M200" s="161">
        <f t="shared" si="117"/>
        <v>0</v>
      </c>
      <c r="N200" s="161">
        <f t="shared" si="117"/>
        <v>0</v>
      </c>
      <c r="O200" s="161">
        <f t="shared" si="117"/>
        <v>0</v>
      </c>
      <c r="P200" s="161">
        <f t="shared" si="117"/>
        <v>0</v>
      </c>
      <c r="Q200" s="161">
        <f t="shared" si="117"/>
        <v>0</v>
      </c>
      <c r="R200" s="161">
        <f t="shared" ref="R200:AF215" si="118">Q200</f>
        <v>0</v>
      </c>
      <c r="S200" s="161">
        <f t="shared" si="118"/>
        <v>0</v>
      </c>
      <c r="T200" s="161">
        <f t="shared" si="118"/>
        <v>0</v>
      </c>
      <c r="U200" s="161">
        <f t="shared" si="118"/>
        <v>0</v>
      </c>
      <c r="V200" s="161">
        <f t="shared" si="118"/>
        <v>0</v>
      </c>
      <c r="W200" s="161">
        <f t="shared" si="118"/>
        <v>0</v>
      </c>
      <c r="X200" s="161">
        <f t="shared" si="118"/>
        <v>0</v>
      </c>
      <c r="Y200" s="161">
        <f t="shared" si="118"/>
        <v>0</v>
      </c>
      <c r="Z200" s="161">
        <f t="shared" si="118"/>
        <v>0</v>
      </c>
      <c r="AA200" s="161">
        <f t="shared" si="118"/>
        <v>0</v>
      </c>
      <c r="AB200" s="161">
        <f t="shared" si="118"/>
        <v>0</v>
      </c>
      <c r="AC200" s="161">
        <f t="shared" si="118"/>
        <v>0</v>
      </c>
      <c r="AD200" s="161">
        <f t="shared" si="118"/>
        <v>0</v>
      </c>
      <c r="AE200" s="161">
        <f t="shared" si="118"/>
        <v>0</v>
      </c>
      <c r="AF200" s="174">
        <f t="shared" si="118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19">B201</f>
        <v>0</v>
      </c>
      <c r="D201" s="161">
        <f t="shared" si="119"/>
        <v>0</v>
      </c>
      <c r="E201" s="161">
        <f t="shared" si="119"/>
        <v>0</v>
      </c>
      <c r="F201" s="161">
        <f t="shared" si="119"/>
        <v>0</v>
      </c>
      <c r="G201" s="161">
        <f t="shared" si="119"/>
        <v>0</v>
      </c>
      <c r="H201" s="161">
        <f t="shared" si="119"/>
        <v>0</v>
      </c>
      <c r="I201" s="161">
        <f t="shared" si="119"/>
        <v>0</v>
      </c>
      <c r="J201" s="161">
        <f t="shared" si="119"/>
        <v>0</v>
      </c>
      <c r="K201" s="161">
        <f t="shared" si="119"/>
        <v>0</v>
      </c>
      <c r="L201" s="161">
        <f t="shared" si="119"/>
        <v>0</v>
      </c>
      <c r="M201" s="161">
        <f t="shared" si="119"/>
        <v>0</v>
      </c>
      <c r="N201" s="161">
        <f t="shared" si="119"/>
        <v>0</v>
      </c>
      <c r="O201" s="161">
        <f t="shared" si="119"/>
        <v>0</v>
      </c>
      <c r="P201" s="161">
        <f t="shared" si="119"/>
        <v>0</v>
      </c>
      <c r="Q201" s="161">
        <f t="shared" si="119"/>
        <v>0</v>
      </c>
      <c r="R201" s="161">
        <f t="shared" si="119"/>
        <v>0</v>
      </c>
      <c r="S201" s="161">
        <f t="shared" si="118"/>
        <v>0</v>
      </c>
      <c r="T201" s="161">
        <f t="shared" si="118"/>
        <v>0</v>
      </c>
      <c r="U201" s="161">
        <f t="shared" si="118"/>
        <v>0</v>
      </c>
      <c r="V201" s="161">
        <f t="shared" si="118"/>
        <v>0</v>
      </c>
      <c r="W201" s="161">
        <f t="shared" si="118"/>
        <v>0</v>
      </c>
      <c r="X201" s="161">
        <f t="shared" si="118"/>
        <v>0</v>
      </c>
      <c r="Y201" s="161">
        <f t="shared" si="118"/>
        <v>0</v>
      </c>
      <c r="Z201" s="161">
        <f t="shared" si="118"/>
        <v>0</v>
      </c>
      <c r="AA201" s="161">
        <f t="shared" si="118"/>
        <v>0</v>
      </c>
      <c r="AB201" s="161">
        <f t="shared" si="118"/>
        <v>0</v>
      </c>
      <c r="AC201" s="161">
        <f t="shared" si="118"/>
        <v>0</v>
      </c>
      <c r="AD201" s="161">
        <f t="shared" si="118"/>
        <v>0</v>
      </c>
      <c r="AE201" s="161">
        <f t="shared" si="118"/>
        <v>0</v>
      </c>
      <c r="AF201" s="174">
        <f t="shared" si="118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19"/>
        <v>0</v>
      </c>
      <c r="D202" s="161">
        <f t="shared" si="119"/>
        <v>0</v>
      </c>
      <c r="E202" s="161">
        <f t="shared" si="119"/>
        <v>0</v>
      </c>
      <c r="F202" s="161">
        <f t="shared" si="119"/>
        <v>0</v>
      </c>
      <c r="G202" s="161">
        <f t="shared" si="119"/>
        <v>0</v>
      </c>
      <c r="H202" s="161">
        <f t="shared" si="119"/>
        <v>0</v>
      </c>
      <c r="I202" s="161">
        <f t="shared" si="119"/>
        <v>0</v>
      </c>
      <c r="J202" s="161">
        <f t="shared" si="119"/>
        <v>0</v>
      </c>
      <c r="K202" s="161">
        <f t="shared" si="119"/>
        <v>0</v>
      </c>
      <c r="L202" s="161">
        <f t="shared" si="119"/>
        <v>0</v>
      </c>
      <c r="M202" s="161">
        <f t="shared" si="119"/>
        <v>0</v>
      </c>
      <c r="N202" s="161">
        <f t="shared" si="119"/>
        <v>0</v>
      </c>
      <c r="O202" s="161">
        <f t="shared" si="119"/>
        <v>0</v>
      </c>
      <c r="P202" s="161">
        <f t="shared" si="119"/>
        <v>0</v>
      </c>
      <c r="Q202" s="161">
        <f t="shared" si="119"/>
        <v>0</v>
      </c>
      <c r="R202" s="161">
        <f t="shared" si="119"/>
        <v>0</v>
      </c>
      <c r="S202" s="161">
        <f t="shared" si="118"/>
        <v>0</v>
      </c>
      <c r="T202" s="161">
        <f t="shared" si="118"/>
        <v>0</v>
      </c>
      <c r="U202" s="161">
        <f t="shared" si="118"/>
        <v>0</v>
      </c>
      <c r="V202" s="161">
        <f t="shared" si="118"/>
        <v>0</v>
      </c>
      <c r="W202" s="161">
        <f t="shared" si="118"/>
        <v>0</v>
      </c>
      <c r="X202" s="161">
        <f t="shared" si="118"/>
        <v>0</v>
      </c>
      <c r="Y202" s="161">
        <f t="shared" si="118"/>
        <v>0</v>
      </c>
      <c r="Z202" s="161">
        <f t="shared" si="118"/>
        <v>0</v>
      </c>
      <c r="AA202" s="161">
        <f t="shared" si="118"/>
        <v>0</v>
      </c>
      <c r="AB202" s="161">
        <f t="shared" si="118"/>
        <v>0</v>
      </c>
      <c r="AC202" s="161">
        <f t="shared" si="118"/>
        <v>0</v>
      </c>
      <c r="AD202" s="161">
        <f t="shared" si="118"/>
        <v>0</v>
      </c>
      <c r="AE202" s="161">
        <f t="shared" si="118"/>
        <v>0</v>
      </c>
      <c r="AF202" s="174">
        <f t="shared" si="118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19"/>
        <v>0</v>
      </c>
      <c r="D203" s="161">
        <f t="shared" si="119"/>
        <v>0</v>
      </c>
      <c r="E203" s="161">
        <f t="shared" si="119"/>
        <v>0</v>
      </c>
      <c r="F203" s="161">
        <f t="shared" si="119"/>
        <v>0</v>
      </c>
      <c r="G203" s="161">
        <f t="shared" si="119"/>
        <v>0</v>
      </c>
      <c r="H203" s="161">
        <f t="shared" si="119"/>
        <v>0</v>
      </c>
      <c r="I203" s="161">
        <f t="shared" si="119"/>
        <v>0</v>
      </c>
      <c r="J203" s="161">
        <f t="shared" si="119"/>
        <v>0</v>
      </c>
      <c r="K203" s="161">
        <f t="shared" si="119"/>
        <v>0</v>
      </c>
      <c r="L203" s="161">
        <f t="shared" si="119"/>
        <v>0</v>
      </c>
      <c r="M203" s="161">
        <f t="shared" si="119"/>
        <v>0</v>
      </c>
      <c r="N203" s="161">
        <f t="shared" si="119"/>
        <v>0</v>
      </c>
      <c r="O203" s="161">
        <f t="shared" si="119"/>
        <v>0</v>
      </c>
      <c r="P203" s="161">
        <f t="shared" si="119"/>
        <v>0</v>
      </c>
      <c r="Q203" s="161">
        <f t="shared" si="119"/>
        <v>0</v>
      </c>
      <c r="R203" s="161">
        <f t="shared" si="119"/>
        <v>0</v>
      </c>
      <c r="S203" s="161">
        <f t="shared" si="118"/>
        <v>0</v>
      </c>
      <c r="T203" s="161">
        <f t="shared" si="118"/>
        <v>0</v>
      </c>
      <c r="U203" s="161">
        <f t="shared" si="118"/>
        <v>0</v>
      </c>
      <c r="V203" s="161">
        <f t="shared" si="118"/>
        <v>0</v>
      </c>
      <c r="W203" s="161">
        <f t="shared" si="118"/>
        <v>0</v>
      </c>
      <c r="X203" s="161">
        <f t="shared" si="118"/>
        <v>0</v>
      </c>
      <c r="Y203" s="161">
        <f t="shared" si="118"/>
        <v>0</v>
      </c>
      <c r="Z203" s="161">
        <f t="shared" si="118"/>
        <v>0</v>
      </c>
      <c r="AA203" s="161">
        <f t="shared" si="118"/>
        <v>0</v>
      </c>
      <c r="AB203" s="161">
        <f t="shared" si="118"/>
        <v>0</v>
      </c>
      <c r="AC203" s="161">
        <f t="shared" si="118"/>
        <v>0</v>
      </c>
      <c r="AD203" s="161">
        <f t="shared" si="118"/>
        <v>0</v>
      </c>
      <c r="AE203" s="161">
        <f t="shared" si="118"/>
        <v>0</v>
      </c>
      <c r="AF203" s="174">
        <f t="shared" si="118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19"/>
        <v>0</v>
      </c>
      <c r="D204" s="161">
        <f t="shared" si="119"/>
        <v>0</v>
      </c>
      <c r="E204" s="161">
        <f t="shared" si="119"/>
        <v>0</v>
      </c>
      <c r="F204" s="161">
        <f t="shared" si="119"/>
        <v>0</v>
      </c>
      <c r="G204" s="161">
        <f t="shared" si="119"/>
        <v>0</v>
      </c>
      <c r="H204" s="161">
        <f t="shared" si="119"/>
        <v>0</v>
      </c>
      <c r="I204" s="161">
        <f t="shared" si="119"/>
        <v>0</v>
      </c>
      <c r="J204" s="161">
        <f t="shared" si="119"/>
        <v>0</v>
      </c>
      <c r="K204" s="161">
        <f t="shared" si="119"/>
        <v>0</v>
      </c>
      <c r="L204" s="161">
        <f t="shared" si="119"/>
        <v>0</v>
      </c>
      <c r="M204" s="161">
        <f t="shared" si="119"/>
        <v>0</v>
      </c>
      <c r="N204" s="161">
        <f t="shared" si="119"/>
        <v>0</v>
      </c>
      <c r="O204" s="161">
        <f t="shared" si="119"/>
        <v>0</v>
      </c>
      <c r="P204" s="161">
        <f t="shared" si="119"/>
        <v>0</v>
      </c>
      <c r="Q204" s="161">
        <f t="shared" si="119"/>
        <v>0</v>
      </c>
      <c r="R204" s="161">
        <f t="shared" si="119"/>
        <v>0</v>
      </c>
      <c r="S204" s="161">
        <f t="shared" si="118"/>
        <v>0</v>
      </c>
      <c r="T204" s="161">
        <f t="shared" si="118"/>
        <v>0</v>
      </c>
      <c r="U204" s="161">
        <f t="shared" si="118"/>
        <v>0</v>
      </c>
      <c r="V204" s="161">
        <f t="shared" si="118"/>
        <v>0</v>
      </c>
      <c r="W204" s="161">
        <f t="shared" si="118"/>
        <v>0</v>
      </c>
      <c r="X204" s="161">
        <f t="shared" si="118"/>
        <v>0</v>
      </c>
      <c r="Y204" s="161">
        <f t="shared" si="118"/>
        <v>0</v>
      </c>
      <c r="Z204" s="161">
        <f t="shared" si="118"/>
        <v>0</v>
      </c>
      <c r="AA204" s="161">
        <f t="shared" si="118"/>
        <v>0</v>
      </c>
      <c r="AB204" s="161">
        <f t="shared" si="118"/>
        <v>0</v>
      </c>
      <c r="AC204" s="161">
        <f t="shared" si="118"/>
        <v>0</v>
      </c>
      <c r="AD204" s="161">
        <f t="shared" si="118"/>
        <v>0</v>
      </c>
      <c r="AE204" s="161">
        <f t="shared" si="118"/>
        <v>0</v>
      </c>
      <c r="AF204" s="174">
        <f t="shared" si="118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19"/>
        <v>0</v>
      </c>
      <c r="D205" s="161">
        <f t="shared" si="119"/>
        <v>0</v>
      </c>
      <c r="E205" s="161">
        <f t="shared" si="119"/>
        <v>0</v>
      </c>
      <c r="F205" s="161">
        <f t="shared" si="119"/>
        <v>0</v>
      </c>
      <c r="G205" s="161">
        <f t="shared" si="119"/>
        <v>0</v>
      </c>
      <c r="H205" s="161">
        <f t="shared" si="119"/>
        <v>0</v>
      </c>
      <c r="I205" s="161">
        <f t="shared" si="119"/>
        <v>0</v>
      </c>
      <c r="J205" s="161">
        <f t="shared" si="119"/>
        <v>0</v>
      </c>
      <c r="K205" s="161">
        <f t="shared" si="119"/>
        <v>0</v>
      </c>
      <c r="L205" s="161">
        <f t="shared" si="119"/>
        <v>0</v>
      </c>
      <c r="M205" s="161">
        <f t="shared" si="119"/>
        <v>0</v>
      </c>
      <c r="N205" s="161">
        <f t="shared" si="119"/>
        <v>0</v>
      </c>
      <c r="O205" s="161">
        <f t="shared" si="119"/>
        <v>0</v>
      </c>
      <c r="P205" s="161">
        <f t="shared" si="119"/>
        <v>0</v>
      </c>
      <c r="Q205" s="161">
        <f t="shared" si="119"/>
        <v>0</v>
      </c>
      <c r="R205" s="161">
        <f t="shared" si="119"/>
        <v>0</v>
      </c>
      <c r="S205" s="161">
        <f t="shared" si="118"/>
        <v>0</v>
      </c>
      <c r="T205" s="161">
        <f t="shared" si="118"/>
        <v>0</v>
      </c>
      <c r="U205" s="161">
        <f t="shared" si="118"/>
        <v>0</v>
      </c>
      <c r="V205" s="161">
        <f t="shared" si="118"/>
        <v>0</v>
      </c>
      <c r="W205" s="161">
        <f t="shared" si="118"/>
        <v>0</v>
      </c>
      <c r="X205" s="161">
        <f t="shared" si="118"/>
        <v>0</v>
      </c>
      <c r="Y205" s="161">
        <f t="shared" si="118"/>
        <v>0</v>
      </c>
      <c r="Z205" s="161">
        <f t="shared" si="118"/>
        <v>0</v>
      </c>
      <c r="AA205" s="161">
        <f t="shared" si="118"/>
        <v>0</v>
      </c>
      <c r="AB205" s="161">
        <f t="shared" si="118"/>
        <v>0</v>
      </c>
      <c r="AC205" s="161">
        <f t="shared" si="118"/>
        <v>0</v>
      </c>
      <c r="AD205" s="161">
        <f t="shared" si="118"/>
        <v>0</v>
      </c>
      <c r="AE205" s="161">
        <f t="shared" si="118"/>
        <v>0</v>
      </c>
      <c r="AF205" s="174">
        <f t="shared" si="118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19"/>
        <v>0</v>
      </c>
      <c r="D206" s="161">
        <f t="shared" si="119"/>
        <v>0</v>
      </c>
      <c r="E206" s="161">
        <f t="shared" si="119"/>
        <v>0</v>
      </c>
      <c r="F206" s="161">
        <f t="shared" si="119"/>
        <v>0</v>
      </c>
      <c r="G206" s="161">
        <f t="shared" si="119"/>
        <v>0</v>
      </c>
      <c r="H206" s="161">
        <f t="shared" si="119"/>
        <v>0</v>
      </c>
      <c r="I206" s="161">
        <f t="shared" si="119"/>
        <v>0</v>
      </c>
      <c r="J206" s="161">
        <f t="shared" si="119"/>
        <v>0</v>
      </c>
      <c r="K206" s="161">
        <f t="shared" si="119"/>
        <v>0</v>
      </c>
      <c r="L206" s="161">
        <f t="shared" si="119"/>
        <v>0</v>
      </c>
      <c r="M206" s="161">
        <f t="shared" si="119"/>
        <v>0</v>
      </c>
      <c r="N206" s="161">
        <f t="shared" si="119"/>
        <v>0</v>
      </c>
      <c r="O206" s="161">
        <f t="shared" si="119"/>
        <v>0</v>
      </c>
      <c r="P206" s="161">
        <f t="shared" si="119"/>
        <v>0</v>
      </c>
      <c r="Q206" s="161">
        <f t="shared" si="119"/>
        <v>0</v>
      </c>
      <c r="R206" s="161">
        <f t="shared" si="119"/>
        <v>0</v>
      </c>
      <c r="S206" s="161">
        <f t="shared" si="118"/>
        <v>0</v>
      </c>
      <c r="T206" s="161">
        <f t="shared" si="118"/>
        <v>0</v>
      </c>
      <c r="U206" s="161">
        <f t="shared" si="118"/>
        <v>0</v>
      </c>
      <c r="V206" s="161">
        <f t="shared" si="118"/>
        <v>0</v>
      </c>
      <c r="W206" s="161">
        <f t="shared" si="118"/>
        <v>0</v>
      </c>
      <c r="X206" s="161">
        <f t="shared" si="118"/>
        <v>0</v>
      </c>
      <c r="Y206" s="161">
        <f t="shared" si="118"/>
        <v>0</v>
      </c>
      <c r="Z206" s="161">
        <f t="shared" si="118"/>
        <v>0</v>
      </c>
      <c r="AA206" s="161">
        <f t="shared" si="118"/>
        <v>0</v>
      </c>
      <c r="AB206" s="161">
        <f t="shared" si="118"/>
        <v>0</v>
      </c>
      <c r="AC206" s="161">
        <f t="shared" si="118"/>
        <v>0</v>
      </c>
      <c r="AD206" s="161">
        <f t="shared" si="118"/>
        <v>0</v>
      </c>
      <c r="AE206" s="161">
        <f t="shared" si="118"/>
        <v>0</v>
      </c>
      <c r="AF206" s="174">
        <f t="shared" si="118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19"/>
        <v>0</v>
      </c>
      <c r="D207" s="161">
        <f t="shared" si="119"/>
        <v>0</v>
      </c>
      <c r="E207" s="161">
        <f t="shared" si="119"/>
        <v>0</v>
      </c>
      <c r="F207" s="161">
        <f t="shared" si="119"/>
        <v>0</v>
      </c>
      <c r="G207" s="161">
        <f t="shared" si="119"/>
        <v>0</v>
      </c>
      <c r="H207" s="161">
        <f t="shared" si="119"/>
        <v>0</v>
      </c>
      <c r="I207" s="161">
        <f t="shared" si="119"/>
        <v>0</v>
      </c>
      <c r="J207" s="161">
        <f t="shared" si="119"/>
        <v>0</v>
      </c>
      <c r="K207" s="161">
        <f t="shared" si="119"/>
        <v>0</v>
      </c>
      <c r="L207" s="161">
        <f t="shared" si="119"/>
        <v>0</v>
      </c>
      <c r="M207" s="161">
        <f t="shared" si="119"/>
        <v>0</v>
      </c>
      <c r="N207" s="161">
        <f t="shared" si="119"/>
        <v>0</v>
      </c>
      <c r="O207" s="161">
        <f t="shared" si="119"/>
        <v>0</v>
      </c>
      <c r="P207" s="161">
        <f t="shared" si="119"/>
        <v>0</v>
      </c>
      <c r="Q207" s="161">
        <f t="shared" si="119"/>
        <v>0</v>
      </c>
      <c r="R207" s="161">
        <f t="shared" si="119"/>
        <v>0</v>
      </c>
      <c r="S207" s="161">
        <f t="shared" si="118"/>
        <v>0</v>
      </c>
      <c r="T207" s="161">
        <f t="shared" si="118"/>
        <v>0</v>
      </c>
      <c r="U207" s="161">
        <f t="shared" si="118"/>
        <v>0</v>
      </c>
      <c r="V207" s="161">
        <f t="shared" si="118"/>
        <v>0</v>
      </c>
      <c r="W207" s="161">
        <f t="shared" si="118"/>
        <v>0</v>
      </c>
      <c r="X207" s="161">
        <f t="shared" si="118"/>
        <v>0</v>
      </c>
      <c r="Y207" s="161">
        <f t="shared" si="118"/>
        <v>0</v>
      </c>
      <c r="Z207" s="161">
        <f t="shared" si="118"/>
        <v>0</v>
      </c>
      <c r="AA207" s="161">
        <f t="shared" si="118"/>
        <v>0</v>
      </c>
      <c r="AB207" s="161">
        <f t="shared" si="118"/>
        <v>0</v>
      </c>
      <c r="AC207" s="161">
        <f t="shared" si="118"/>
        <v>0</v>
      </c>
      <c r="AD207" s="161">
        <f t="shared" si="118"/>
        <v>0</v>
      </c>
      <c r="AE207" s="161">
        <f t="shared" si="118"/>
        <v>0</v>
      </c>
      <c r="AF207" s="174">
        <f t="shared" si="118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19"/>
        <v>0</v>
      </c>
      <c r="D208" s="161">
        <f t="shared" si="119"/>
        <v>0</v>
      </c>
      <c r="E208" s="161">
        <f t="shared" si="119"/>
        <v>0</v>
      </c>
      <c r="F208" s="161">
        <f t="shared" si="119"/>
        <v>0</v>
      </c>
      <c r="G208" s="161">
        <f t="shared" si="119"/>
        <v>0</v>
      </c>
      <c r="H208" s="161">
        <f t="shared" si="119"/>
        <v>0</v>
      </c>
      <c r="I208" s="161">
        <f t="shared" si="119"/>
        <v>0</v>
      </c>
      <c r="J208" s="161">
        <f t="shared" si="119"/>
        <v>0</v>
      </c>
      <c r="K208" s="161">
        <f t="shared" si="119"/>
        <v>0</v>
      </c>
      <c r="L208" s="161">
        <f t="shared" si="119"/>
        <v>0</v>
      </c>
      <c r="M208" s="161">
        <f t="shared" si="119"/>
        <v>0</v>
      </c>
      <c r="N208" s="161">
        <f t="shared" si="119"/>
        <v>0</v>
      </c>
      <c r="O208" s="161">
        <f t="shared" si="119"/>
        <v>0</v>
      </c>
      <c r="P208" s="161">
        <f t="shared" si="119"/>
        <v>0</v>
      </c>
      <c r="Q208" s="161">
        <f t="shared" si="119"/>
        <v>0</v>
      </c>
      <c r="R208" s="161">
        <f t="shared" si="119"/>
        <v>0</v>
      </c>
      <c r="S208" s="161">
        <f t="shared" si="118"/>
        <v>0</v>
      </c>
      <c r="T208" s="161">
        <f t="shared" si="118"/>
        <v>0</v>
      </c>
      <c r="U208" s="161">
        <f t="shared" si="118"/>
        <v>0</v>
      </c>
      <c r="V208" s="161">
        <f t="shared" si="118"/>
        <v>0</v>
      </c>
      <c r="W208" s="161">
        <f t="shared" si="118"/>
        <v>0</v>
      </c>
      <c r="X208" s="161">
        <f t="shared" si="118"/>
        <v>0</v>
      </c>
      <c r="Y208" s="161">
        <f t="shared" si="118"/>
        <v>0</v>
      </c>
      <c r="Z208" s="161">
        <f t="shared" si="118"/>
        <v>0</v>
      </c>
      <c r="AA208" s="161">
        <f t="shared" si="118"/>
        <v>0</v>
      </c>
      <c r="AB208" s="161">
        <f t="shared" si="118"/>
        <v>0</v>
      </c>
      <c r="AC208" s="161">
        <f t="shared" si="118"/>
        <v>0</v>
      </c>
      <c r="AD208" s="161">
        <f t="shared" si="118"/>
        <v>0</v>
      </c>
      <c r="AE208" s="161">
        <f t="shared" si="118"/>
        <v>0</v>
      </c>
      <c r="AF208" s="174">
        <f t="shared" si="118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19"/>
        <v>0</v>
      </c>
      <c r="D209" s="161">
        <f t="shared" si="119"/>
        <v>0</v>
      </c>
      <c r="E209" s="161">
        <f t="shared" si="119"/>
        <v>0</v>
      </c>
      <c r="F209" s="161">
        <f t="shared" si="119"/>
        <v>0</v>
      </c>
      <c r="G209" s="161">
        <f t="shared" si="119"/>
        <v>0</v>
      </c>
      <c r="H209" s="161">
        <f t="shared" si="119"/>
        <v>0</v>
      </c>
      <c r="I209" s="161">
        <f t="shared" si="119"/>
        <v>0</v>
      </c>
      <c r="J209" s="161">
        <f t="shared" si="119"/>
        <v>0</v>
      </c>
      <c r="K209" s="161">
        <f t="shared" si="119"/>
        <v>0</v>
      </c>
      <c r="L209" s="161">
        <f t="shared" si="119"/>
        <v>0</v>
      </c>
      <c r="M209" s="161">
        <f t="shared" si="119"/>
        <v>0</v>
      </c>
      <c r="N209" s="161">
        <f t="shared" si="119"/>
        <v>0</v>
      </c>
      <c r="O209" s="161">
        <f t="shared" si="119"/>
        <v>0</v>
      </c>
      <c r="P209" s="161">
        <f t="shared" si="119"/>
        <v>0</v>
      </c>
      <c r="Q209" s="161">
        <f t="shared" si="119"/>
        <v>0</v>
      </c>
      <c r="R209" s="161">
        <f t="shared" si="119"/>
        <v>0</v>
      </c>
      <c r="S209" s="161">
        <f t="shared" si="118"/>
        <v>0</v>
      </c>
      <c r="T209" s="161">
        <f t="shared" si="118"/>
        <v>0</v>
      </c>
      <c r="U209" s="161">
        <f t="shared" si="118"/>
        <v>0</v>
      </c>
      <c r="V209" s="161">
        <f t="shared" si="118"/>
        <v>0</v>
      </c>
      <c r="W209" s="161">
        <f t="shared" si="118"/>
        <v>0</v>
      </c>
      <c r="X209" s="161">
        <f t="shared" si="118"/>
        <v>0</v>
      </c>
      <c r="Y209" s="161">
        <f t="shared" si="118"/>
        <v>0</v>
      </c>
      <c r="Z209" s="161">
        <f t="shared" si="118"/>
        <v>0</v>
      </c>
      <c r="AA209" s="161">
        <f t="shared" si="118"/>
        <v>0</v>
      </c>
      <c r="AB209" s="161">
        <f t="shared" si="118"/>
        <v>0</v>
      </c>
      <c r="AC209" s="161">
        <f t="shared" si="118"/>
        <v>0</v>
      </c>
      <c r="AD209" s="161">
        <f t="shared" si="118"/>
        <v>0</v>
      </c>
      <c r="AE209" s="161">
        <f t="shared" si="118"/>
        <v>0</v>
      </c>
      <c r="AF209" s="174">
        <f t="shared" si="118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19"/>
        <v>0</v>
      </c>
      <c r="D210" s="161">
        <f t="shared" si="119"/>
        <v>0</v>
      </c>
      <c r="E210" s="161">
        <f t="shared" si="119"/>
        <v>0</v>
      </c>
      <c r="F210" s="161">
        <f t="shared" si="119"/>
        <v>0</v>
      </c>
      <c r="G210" s="161">
        <f t="shared" si="119"/>
        <v>0</v>
      </c>
      <c r="H210" s="161">
        <f t="shared" si="119"/>
        <v>0</v>
      </c>
      <c r="I210" s="161">
        <f t="shared" si="119"/>
        <v>0</v>
      </c>
      <c r="J210" s="161">
        <f t="shared" si="119"/>
        <v>0</v>
      </c>
      <c r="K210" s="161">
        <f t="shared" si="119"/>
        <v>0</v>
      </c>
      <c r="L210" s="161">
        <f t="shared" si="119"/>
        <v>0</v>
      </c>
      <c r="M210" s="161">
        <f t="shared" si="119"/>
        <v>0</v>
      </c>
      <c r="N210" s="161">
        <f t="shared" si="119"/>
        <v>0</v>
      </c>
      <c r="O210" s="161">
        <f t="shared" si="119"/>
        <v>0</v>
      </c>
      <c r="P210" s="161">
        <f t="shared" si="119"/>
        <v>0</v>
      </c>
      <c r="Q210" s="161">
        <f t="shared" si="119"/>
        <v>0</v>
      </c>
      <c r="R210" s="161">
        <f t="shared" si="119"/>
        <v>0</v>
      </c>
      <c r="S210" s="161">
        <f t="shared" si="118"/>
        <v>0</v>
      </c>
      <c r="T210" s="161">
        <f t="shared" si="118"/>
        <v>0</v>
      </c>
      <c r="U210" s="161">
        <f t="shared" si="118"/>
        <v>0</v>
      </c>
      <c r="V210" s="161">
        <f t="shared" si="118"/>
        <v>0</v>
      </c>
      <c r="W210" s="161">
        <f t="shared" si="118"/>
        <v>0</v>
      </c>
      <c r="X210" s="161">
        <f t="shared" si="118"/>
        <v>0</v>
      </c>
      <c r="Y210" s="161">
        <f t="shared" si="118"/>
        <v>0</v>
      </c>
      <c r="Z210" s="161">
        <f t="shared" si="118"/>
        <v>0</v>
      </c>
      <c r="AA210" s="161">
        <f t="shared" si="118"/>
        <v>0</v>
      </c>
      <c r="AB210" s="161">
        <f t="shared" si="118"/>
        <v>0</v>
      </c>
      <c r="AC210" s="161">
        <f t="shared" si="118"/>
        <v>0</v>
      </c>
      <c r="AD210" s="161">
        <f t="shared" si="118"/>
        <v>0</v>
      </c>
      <c r="AE210" s="161">
        <f t="shared" si="118"/>
        <v>0</v>
      </c>
      <c r="AF210" s="174">
        <f t="shared" si="118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19"/>
        <v>0</v>
      </c>
      <c r="D211" s="161">
        <f t="shared" si="119"/>
        <v>0</v>
      </c>
      <c r="E211" s="161">
        <f t="shared" si="119"/>
        <v>0</v>
      </c>
      <c r="F211" s="161">
        <f t="shared" si="119"/>
        <v>0</v>
      </c>
      <c r="G211" s="161">
        <f t="shared" si="119"/>
        <v>0</v>
      </c>
      <c r="H211" s="161">
        <f t="shared" si="119"/>
        <v>0</v>
      </c>
      <c r="I211" s="161">
        <f t="shared" si="119"/>
        <v>0</v>
      </c>
      <c r="J211" s="161">
        <f t="shared" si="119"/>
        <v>0</v>
      </c>
      <c r="K211" s="161">
        <f t="shared" si="119"/>
        <v>0</v>
      </c>
      <c r="L211" s="161">
        <f t="shared" si="119"/>
        <v>0</v>
      </c>
      <c r="M211" s="161">
        <f t="shared" si="119"/>
        <v>0</v>
      </c>
      <c r="N211" s="161">
        <f t="shared" si="119"/>
        <v>0</v>
      </c>
      <c r="O211" s="161">
        <f t="shared" si="119"/>
        <v>0</v>
      </c>
      <c r="P211" s="161">
        <f t="shared" si="119"/>
        <v>0</v>
      </c>
      <c r="Q211" s="161">
        <f t="shared" si="119"/>
        <v>0</v>
      </c>
      <c r="R211" s="161">
        <f t="shared" si="119"/>
        <v>0</v>
      </c>
      <c r="S211" s="161">
        <f t="shared" si="118"/>
        <v>0</v>
      </c>
      <c r="T211" s="161">
        <f t="shared" si="118"/>
        <v>0</v>
      </c>
      <c r="U211" s="161">
        <f t="shared" si="118"/>
        <v>0</v>
      </c>
      <c r="V211" s="161">
        <f t="shared" si="118"/>
        <v>0</v>
      </c>
      <c r="W211" s="161">
        <f t="shared" si="118"/>
        <v>0</v>
      </c>
      <c r="X211" s="161">
        <f t="shared" si="118"/>
        <v>0</v>
      </c>
      <c r="Y211" s="161">
        <f t="shared" si="118"/>
        <v>0</v>
      </c>
      <c r="Z211" s="161">
        <f t="shared" si="118"/>
        <v>0</v>
      </c>
      <c r="AA211" s="161">
        <f t="shared" si="118"/>
        <v>0</v>
      </c>
      <c r="AB211" s="161">
        <f t="shared" si="118"/>
        <v>0</v>
      </c>
      <c r="AC211" s="161">
        <f t="shared" si="118"/>
        <v>0</v>
      </c>
      <c r="AD211" s="161">
        <f t="shared" si="118"/>
        <v>0</v>
      </c>
      <c r="AE211" s="161">
        <f t="shared" si="118"/>
        <v>0</v>
      </c>
      <c r="AF211" s="174">
        <f t="shared" si="118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19"/>
        <v>0</v>
      </c>
      <c r="D212" s="161">
        <f t="shared" si="119"/>
        <v>0</v>
      </c>
      <c r="E212" s="161">
        <f t="shared" si="119"/>
        <v>0</v>
      </c>
      <c r="F212" s="161">
        <f t="shared" si="119"/>
        <v>0</v>
      </c>
      <c r="G212" s="161">
        <f t="shared" si="119"/>
        <v>0</v>
      </c>
      <c r="H212" s="161">
        <f t="shared" si="119"/>
        <v>0</v>
      </c>
      <c r="I212" s="161">
        <f t="shared" si="119"/>
        <v>0</v>
      </c>
      <c r="J212" s="161">
        <f t="shared" si="119"/>
        <v>0</v>
      </c>
      <c r="K212" s="161">
        <f t="shared" si="119"/>
        <v>0</v>
      </c>
      <c r="L212" s="161">
        <f t="shared" si="119"/>
        <v>0</v>
      </c>
      <c r="M212" s="161">
        <f t="shared" si="119"/>
        <v>0</v>
      </c>
      <c r="N212" s="161">
        <f t="shared" si="119"/>
        <v>0</v>
      </c>
      <c r="O212" s="161">
        <f t="shared" si="119"/>
        <v>0</v>
      </c>
      <c r="P212" s="161">
        <f t="shared" si="119"/>
        <v>0</v>
      </c>
      <c r="Q212" s="161">
        <f t="shared" si="119"/>
        <v>0</v>
      </c>
      <c r="R212" s="161">
        <f t="shared" si="119"/>
        <v>0</v>
      </c>
      <c r="S212" s="161">
        <f t="shared" si="118"/>
        <v>0</v>
      </c>
      <c r="T212" s="161">
        <f t="shared" si="118"/>
        <v>0</v>
      </c>
      <c r="U212" s="161">
        <f t="shared" si="118"/>
        <v>0</v>
      </c>
      <c r="V212" s="161">
        <f t="shared" si="118"/>
        <v>0</v>
      </c>
      <c r="W212" s="161">
        <f t="shared" si="118"/>
        <v>0</v>
      </c>
      <c r="X212" s="161">
        <f t="shared" si="118"/>
        <v>0</v>
      </c>
      <c r="Y212" s="161">
        <f t="shared" si="118"/>
        <v>0</v>
      </c>
      <c r="Z212" s="161">
        <f t="shared" si="118"/>
        <v>0</v>
      </c>
      <c r="AA212" s="161">
        <f t="shared" si="118"/>
        <v>0</v>
      </c>
      <c r="AB212" s="161">
        <f t="shared" si="118"/>
        <v>0</v>
      </c>
      <c r="AC212" s="161">
        <f t="shared" si="118"/>
        <v>0</v>
      </c>
      <c r="AD212" s="161">
        <f t="shared" si="118"/>
        <v>0</v>
      </c>
      <c r="AE212" s="161">
        <f t="shared" si="118"/>
        <v>0</v>
      </c>
      <c r="AF212" s="174">
        <f t="shared" si="118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19"/>
        <v>0</v>
      </c>
      <c r="D213" s="161">
        <f t="shared" si="119"/>
        <v>0</v>
      </c>
      <c r="E213" s="161">
        <f t="shared" si="119"/>
        <v>0</v>
      </c>
      <c r="F213" s="161">
        <f t="shared" si="119"/>
        <v>0</v>
      </c>
      <c r="G213" s="161">
        <f t="shared" si="119"/>
        <v>0</v>
      </c>
      <c r="H213" s="161">
        <f t="shared" si="119"/>
        <v>0</v>
      </c>
      <c r="I213" s="161">
        <f t="shared" si="119"/>
        <v>0</v>
      </c>
      <c r="J213" s="161">
        <f t="shared" si="119"/>
        <v>0</v>
      </c>
      <c r="K213" s="161">
        <f t="shared" si="119"/>
        <v>0</v>
      </c>
      <c r="L213" s="161">
        <f t="shared" si="119"/>
        <v>0</v>
      </c>
      <c r="M213" s="161">
        <f t="shared" si="119"/>
        <v>0</v>
      </c>
      <c r="N213" s="161">
        <f t="shared" si="119"/>
        <v>0</v>
      </c>
      <c r="O213" s="161">
        <f t="shared" si="119"/>
        <v>0</v>
      </c>
      <c r="P213" s="161">
        <f t="shared" si="119"/>
        <v>0</v>
      </c>
      <c r="Q213" s="161">
        <f t="shared" si="119"/>
        <v>0</v>
      </c>
      <c r="R213" s="161">
        <f t="shared" si="119"/>
        <v>0</v>
      </c>
      <c r="S213" s="161">
        <f t="shared" si="118"/>
        <v>0</v>
      </c>
      <c r="T213" s="161">
        <f t="shared" si="118"/>
        <v>0</v>
      </c>
      <c r="U213" s="161">
        <f t="shared" si="118"/>
        <v>0</v>
      </c>
      <c r="V213" s="161">
        <f t="shared" si="118"/>
        <v>0</v>
      </c>
      <c r="W213" s="161">
        <f t="shared" si="118"/>
        <v>0</v>
      </c>
      <c r="X213" s="161">
        <f t="shared" si="118"/>
        <v>0</v>
      </c>
      <c r="Y213" s="161">
        <f t="shared" si="118"/>
        <v>0</v>
      </c>
      <c r="Z213" s="161">
        <f t="shared" si="118"/>
        <v>0</v>
      </c>
      <c r="AA213" s="161">
        <f t="shared" si="118"/>
        <v>0</v>
      </c>
      <c r="AB213" s="161">
        <f t="shared" si="118"/>
        <v>0</v>
      </c>
      <c r="AC213" s="161">
        <f t="shared" si="118"/>
        <v>0</v>
      </c>
      <c r="AD213" s="161">
        <f t="shared" si="118"/>
        <v>0</v>
      </c>
      <c r="AE213" s="161">
        <f t="shared" si="118"/>
        <v>0</v>
      </c>
      <c r="AF213" s="174">
        <f t="shared" si="118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19"/>
        <v>0</v>
      </c>
      <c r="D214" s="161">
        <f t="shared" si="119"/>
        <v>0</v>
      </c>
      <c r="E214" s="161">
        <f t="shared" si="119"/>
        <v>0</v>
      </c>
      <c r="F214" s="161">
        <f t="shared" si="119"/>
        <v>0</v>
      </c>
      <c r="G214" s="161">
        <f t="shared" si="119"/>
        <v>0</v>
      </c>
      <c r="H214" s="161">
        <f t="shared" si="119"/>
        <v>0</v>
      </c>
      <c r="I214" s="161">
        <f t="shared" si="119"/>
        <v>0</v>
      </c>
      <c r="J214" s="161">
        <f t="shared" si="119"/>
        <v>0</v>
      </c>
      <c r="K214" s="161">
        <f t="shared" si="119"/>
        <v>0</v>
      </c>
      <c r="L214" s="161">
        <f t="shared" si="119"/>
        <v>0</v>
      </c>
      <c r="M214" s="161">
        <f t="shared" si="119"/>
        <v>0</v>
      </c>
      <c r="N214" s="161">
        <f t="shared" si="119"/>
        <v>0</v>
      </c>
      <c r="O214" s="161">
        <f t="shared" si="119"/>
        <v>0</v>
      </c>
      <c r="P214" s="161">
        <f t="shared" si="119"/>
        <v>0</v>
      </c>
      <c r="Q214" s="161">
        <f t="shared" si="119"/>
        <v>0</v>
      </c>
      <c r="R214" s="161">
        <f t="shared" si="119"/>
        <v>0</v>
      </c>
      <c r="S214" s="161">
        <f t="shared" si="118"/>
        <v>0</v>
      </c>
      <c r="T214" s="161">
        <f t="shared" si="118"/>
        <v>0</v>
      </c>
      <c r="U214" s="161">
        <f t="shared" si="118"/>
        <v>0</v>
      </c>
      <c r="V214" s="161">
        <f t="shared" si="118"/>
        <v>0</v>
      </c>
      <c r="W214" s="161">
        <f t="shared" si="118"/>
        <v>0</v>
      </c>
      <c r="X214" s="161">
        <f t="shared" si="118"/>
        <v>0</v>
      </c>
      <c r="Y214" s="161">
        <f t="shared" si="118"/>
        <v>0</v>
      </c>
      <c r="Z214" s="161">
        <f t="shared" si="118"/>
        <v>0</v>
      </c>
      <c r="AA214" s="161">
        <f t="shared" si="118"/>
        <v>0</v>
      </c>
      <c r="AB214" s="161">
        <f t="shared" si="118"/>
        <v>0</v>
      </c>
      <c r="AC214" s="161">
        <f t="shared" si="118"/>
        <v>0</v>
      </c>
      <c r="AD214" s="161">
        <f t="shared" si="118"/>
        <v>0</v>
      </c>
      <c r="AE214" s="161">
        <f t="shared" si="118"/>
        <v>0</v>
      </c>
      <c r="AF214" s="174">
        <f t="shared" si="118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19"/>
        <v>0</v>
      </c>
      <c r="D215" s="161">
        <f t="shared" si="119"/>
        <v>0</v>
      </c>
      <c r="E215" s="161">
        <f t="shared" si="119"/>
        <v>0</v>
      </c>
      <c r="F215" s="161">
        <f t="shared" si="119"/>
        <v>0</v>
      </c>
      <c r="G215" s="161">
        <f t="shared" si="119"/>
        <v>0</v>
      </c>
      <c r="H215" s="161">
        <f t="shared" si="119"/>
        <v>0</v>
      </c>
      <c r="I215" s="161">
        <f t="shared" si="119"/>
        <v>0</v>
      </c>
      <c r="J215" s="161">
        <f t="shared" si="119"/>
        <v>0</v>
      </c>
      <c r="K215" s="161">
        <f t="shared" si="119"/>
        <v>0</v>
      </c>
      <c r="L215" s="161">
        <f t="shared" si="119"/>
        <v>0</v>
      </c>
      <c r="M215" s="161">
        <f t="shared" si="119"/>
        <v>0</v>
      </c>
      <c r="N215" s="161">
        <f t="shared" si="119"/>
        <v>0</v>
      </c>
      <c r="O215" s="161">
        <f t="shared" si="119"/>
        <v>0</v>
      </c>
      <c r="P215" s="161">
        <f t="shared" si="119"/>
        <v>0</v>
      </c>
      <c r="Q215" s="161">
        <f t="shared" si="119"/>
        <v>0</v>
      </c>
      <c r="R215" s="161">
        <f t="shared" si="119"/>
        <v>0</v>
      </c>
      <c r="S215" s="161">
        <f t="shared" si="118"/>
        <v>0</v>
      </c>
      <c r="T215" s="161">
        <f t="shared" si="118"/>
        <v>0</v>
      </c>
      <c r="U215" s="161">
        <f t="shared" si="118"/>
        <v>0</v>
      </c>
      <c r="V215" s="161">
        <f t="shared" si="118"/>
        <v>0</v>
      </c>
      <c r="W215" s="161">
        <f t="shared" si="118"/>
        <v>0</v>
      </c>
      <c r="X215" s="161">
        <f t="shared" si="118"/>
        <v>0</v>
      </c>
      <c r="Y215" s="161">
        <f t="shared" si="118"/>
        <v>0</v>
      </c>
      <c r="Z215" s="161">
        <f t="shared" si="118"/>
        <v>0</v>
      </c>
      <c r="AA215" s="161">
        <f t="shared" si="118"/>
        <v>0</v>
      </c>
      <c r="AB215" s="161">
        <f t="shared" si="118"/>
        <v>0</v>
      </c>
      <c r="AC215" s="161">
        <f t="shared" si="118"/>
        <v>0</v>
      </c>
      <c r="AD215" s="161">
        <f t="shared" si="118"/>
        <v>0</v>
      </c>
      <c r="AE215" s="161">
        <f t="shared" si="118"/>
        <v>0</v>
      </c>
      <c r="AF215" s="174">
        <f t="shared" si="118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19"/>
        <v>0</v>
      </c>
      <c r="D216" s="161">
        <f t="shared" si="119"/>
        <v>0</v>
      </c>
      <c r="E216" s="161">
        <f t="shared" si="119"/>
        <v>0</v>
      </c>
      <c r="F216" s="161">
        <f t="shared" si="119"/>
        <v>0</v>
      </c>
      <c r="G216" s="161">
        <f t="shared" si="119"/>
        <v>0</v>
      </c>
      <c r="H216" s="161">
        <f t="shared" si="119"/>
        <v>0</v>
      </c>
      <c r="I216" s="161">
        <f t="shared" si="119"/>
        <v>0</v>
      </c>
      <c r="J216" s="161">
        <f t="shared" si="119"/>
        <v>0</v>
      </c>
      <c r="K216" s="161">
        <f t="shared" si="119"/>
        <v>0</v>
      </c>
      <c r="L216" s="161">
        <f t="shared" si="119"/>
        <v>0</v>
      </c>
      <c r="M216" s="161">
        <f t="shared" si="119"/>
        <v>0</v>
      </c>
      <c r="N216" s="161">
        <f t="shared" si="119"/>
        <v>0</v>
      </c>
      <c r="O216" s="161">
        <f t="shared" si="119"/>
        <v>0</v>
      </c>
      <c r="P216" s="161">
        <f t="shared" si="119"/>
        <v>0</v>
      </c>
      <c r="Q216" s="161">
        <f t="shared" si="119"/>
        <v>0</v>
      </c>
      <c r="R216" s="161">
        <f t="shared" ref="R216:AF231" si="120">Q216</f>
        <v>0</v>
      </c>
      <c r="S216" s="161">
        <f t="shared" si="120"/>
        <v>0</v>
      </c>
      <c r="T216" s="161">
        <f t="shared" si="120"/>
        <v>0</v>
      </c>
      <c r="U216" s="161">
        <f t="shared" si="120"/>
        <v>0</v>
      </c>
      <c r="V216" s="161">
        <f t="shared" si="120"/>
        <v>0</v>
      </c>
      <c r="W216" s="161">
        <f t="shared" si="120"/>
        <v>0</v>
      </c>
      <c r="X216" s="161">
        <f t="shared" si="120"/>
        <v>0</v>
      </c>
      <c r="Y216" s="161">
        <f t="shared" si="120"/>
        <v>0</v>
      </c>
      <c r="Z216" s="161">
        <f t="shared" si="120"/>
        <v>0</v>
      </c>
      <c r="AA216" s="161">
        <f t="shared" si="120"/>
        <v>0</v>
      </c>
      <c r="AB216" s="161">
        <f t="shared" si="120"/>
        <v>0</v>
      </c>
      <c r="AC216" s="161">
        <f t="shared" si="120"/>
        <v>0</v>
      </c>
      <c r="AD216" s="161">
        <f t="shared" si="120"/>
        <v>0</v>
      </c>
      <c r="AE216" s="161">
        <f t="shared" si="120"/>
        <v>0</v>
      </c>
      <c r="AF216" s="174">
        <f t="shared" si="120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21">B217</f>
        <v>0</v>
      </c>
      <c r="D217" s="161">
        <f t="shared" si="121"/>
        <v>0</v>
      </c>
      <c r="E217" s="161">
        <f t="shared" si="121"/>
        <v>0</v>
      </c>
      <c r="F217" s="161">
        <f t="shared" si="121"/>
        <v>0</v>
      </c>
      <c r="G217" s="161">
        <f t="shared" si="121"/>
        <v>0</v>
      </c>
      <c r="H217" s="161">
        <f t="shared" si="121"/>
        <v>0</v>
      </c>
      <c r="I217" s="161">
        <f t="shared" si="121"/>
        <v>0</v>
      </c>
      <c r="J217" s="161">
        <f t="shared" si="121"/>
        <v>0</v>
      </c>
      <c r="K217" s="161">
        <f t="shared" si="121"/>
        <v>0</v>
      </c>
      <c r="L217" s="161">
        <f t="shared" si="121"/>
        <v>0</v>
      </c>
      <c r="M217" s="161">
        <f t="shared" si="121"/>
        <v>0</v>
      </c>
      <c r="N217" s="161">
        <f t="shared" si="121"/>
        <v>0</v>
      </c>
      <c r="O217" s="161">
        <f t="shared" si="121"/>
        <v>0</v>
      </c>
      <c r="P217" s="161">
        <f t="shared" si="121"/>
        <v>0</v>
      </c>
      <c r="Q217" s="161">
        <f t="shared" si="121"/>
        <v>0</v>
      </c>
      <c r="R217" s="161">
        <f t="shared" si="121"/>
        <v>0</v>
      </c>
      <c r="S217" s="161">
        <f t="shared" si="120"/>
        <v>0</v>
      </c>
      <c r="T217" s="161">
        <f t="shared" si="120"/>
        <v>0</v>
      </c>
      <c r="U217" s="161">
        <f t="shared" si="120"/>
        <v>0</v>
      </c>
      <c r="V217" s="161">
        <f t="shared" si="120"/>
        <v>0</v>
      </c>
      <c r="W217" s="161">
        <f t="shared" si="120"/>
        <v>0</v>
      </c>
      <c r="X217" s="161">
        <f t="shared" si="120"/>
        <v>0</v>
      </c>
      <c r="Y217" s="161">
        <f t="shared" si="120"/>
        <v>0</v>
      </c>
      <c r="Z217" s="161">
        <f t="shared" si="120"/>
        <v>0</v>
      </c>
      <c r="AA217" s="161">
        <f t="shared" si="120"/>
        <v>0</v>
      </c>
      <c r="AB217" s="161">
        <f t="shared" si="120"/>
        <v>0</v>
      </c>
      <c r="AC217" s="161">
        <f t="shared" si="120"/>
        <v>0</v>
      </c>
      <c r="AD217" s="161">
        <f t="shared" si="120"/>
        <v>0</v>
      </c>
      <c r="AE217" s="161">
        <f t="shared" si="120"/>
        <v>0</v>
      </c>
      <c r="AF217" s="174">
        <f t="shared" si="120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21"/>
        <v>0</v>
      </c>
      <c r="D218" s="161">
        <f t="shared" si="121"/>
        <v>0</v>
      </c>
      <c r="E218" s="161">
        <f t="shared" si="121"/>
        <v>0</v>
      </c>
      <c r="F218" s="161">
        <f t="shared" si="121"/>
        <v>0</v>
      </c>
      <c r="G218" s="161">
        <f t="shared" si="121"/>
        <v>0</v>
      </c>
      <c r="H218" s="161">
        <f t="shared" si="121"/>
        <v>0</v>
      </c>
      <c r="I218" s="161">
        <f t="shared" si="121"/>
        <v>0</v>
      </c>
      <c r="J218" s="161">
        <f t="shared" si="121"/>
        <v>0</v>
      </c>
      <c r="K218" s="161">
        <f t="shared" si="121"/>
        <v>0</v>
      </c>
      <c r="L218" s="161">
        <f t="shared" si="121"/>
        <v>0</v>
      </c>
      <c r="M218" s="161">
        <f t="shared" si="121"/>
        <v>0</v>
      </c>
      <c r="N218" s="161">
        <f t="shared" si="121"/>
        <v>0</v>
      </c>
      <c r="O218" s="161">
        <f t="shared" si="121"/>
        <v>0</v>
      </c>
      <c r="P218" s="161">
        <f t="shared" si="121"/>
        <v>0</v>
      </c>
      <c r="Q218" s="161">
        <f t="shared" si="121"/>
        <v>0</v>
      </c>
      <c r="R218" s="161">
        <f t="shared" si="121"/>
        <v>0</v>
      </c>
      <c r="S218" s="161">
        <f t="shared" si="120"/>
        <v>0</v>
      </c>
      <c r="T218" s="161">
        <f t="shared" si="120"/>
        <v>0</v>
      </c>
      <c r="U218" s="161">
        <f t="shared" si="120"/>
        <v>0</v>
      </c>
      <c r="V218" s="161">
        <f t="shared" si="120"/>
        <v>0</v>
      </c>
      <c r="W218" s="161">
        <f t="shared" si="120"/>
        <v>0</v>
      </c>
      <c r="X218" s="161">
        <f t="shared" si="120"/>
        <v>0</v>
      </c>
      <c r="Y218" s="161">
        <f t="shared" si="120"/>
        <v>0</v>
      </c>
      <c r="Z218" s="161">
        <f t="shared" si="120"/>
        <v>0</v>
      </c>
      <c r="AA218" s="161">
        <f t="shared" si="120"/>
        <v>0</v>
      </c>
      <c r="AB218" s="161">
        <f t="shared" si="120"/>
        <v>0</v>
      </c>
      <c r="AC218" s="161">
        <f t="shared" si="120"/>
        <v>0</v>
      </c>
      <c r="AD218" s="161">
        <f t="shared" si="120"/>
        <v>0</v>
      </c>
      <c r="AE218" s="161">
        <f t="shared" si="120"/>
        <v>0</v>
      </c>
      <c r="AF218" s="174">
        <f t="shared" si="120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21"/>
        <v>0</v>
      </c>
      <c r="D219" s="161">
        <f t="shared" si="121"/>
        <v>0</v>
      </c>
      <c r="E219" s="161">
        <f t="shared" si="121"/>
        <v>0</v>
      </c>
      <c r="F219" s="161">
        <f t="shared" si="121"/>
        <v>0</v>
      </c>
      <c r="G219" s="161">
        <f t="shared" si="121"/>
        <v>0</v>
      </c>
      <c r="H219" s="161">
        <f t="shared" si="121"/>
        <v>0</v>
      </c>
      <c r="I219" s="161">
        <f t="shared" si="121"/>
        <v>0</v>
      </c>
      <c r="J219" s="161">
        <f t="shared" si="121"/>
        <v>0</v>
      </c>
      <c r="K219" s="161">
        <f t="shared" si="121"/>
        <v>0</v>
      </c>
      <c r="L219" s="161">
        <f t="shared" si="121"/>
        <v>0</v>
      </c>
      <c r="M219" s="161">
        <f t="shared" si="121"/>
        <v>0</v>
      </c>
      <c r="N219" s="161">
        <f t="shared" si="121"/>
        <v>0</v>
      </c>
      <c r="O219" s="161">
        <f t="shared" si="121"/>
        <v>0</v>
      </c>
      <c r="P219" s="161">
        <f t="shared" si="121"/>
        <v>0</v>
      </c>
      <c r="Q219" s="161">
        <f t="shared" si="121"/>
        <v>0</v>
      </c>
      <c r="R219" s="161">
        <f t="shared" si="121"/>
        <v>0</v>
      </c>
      <c r="S219" s="161">
        <f t="shared" si="120"/>
        <v>0</v>
      </c>
      <c r="T219" s="161">
        <f t="shared" si="120"/>
        <v>0</v>
      </c>
      <c r="U219" s="161">
        <f t="shared" si="120"/>
        <v>0</v>
      </c>
      <c r="V219" s="161">
        <f t="shared" si="120"/>
        <v>0</v>
      </c>
      <c r="W219" s="161">
        <f t="shared" si="120"/>
        <v>0</v>
      </c>
      <c r="X219" s="161">
        <f t="shared" si="120"/>
        <v>0</v>
      </c>
      <c r="Y219" s="161">
        <f t="shared" si="120"/>
        <v>0</v>
      </c>
      <c r="Z219" s="161">
        <f t="shared" si="120"/>
        <v>0</v>
      </c>
      <c r="AA219" s="161">
        <f t="shared" si="120"/>
        <v>0</v>
      </c>
      <c r="AB219" s="161">
        <f t="shared" si="120"/>
        <v>0</v>
      </c>
      <c r="AC219" s="161">
        <f t="shared" si="120"/>
        <v>0</v>
      </c>
      <c r="AD219" s="161">
        <f t="shared" si="120"/>
        <v>0</v>
      </c>
      <c r="AE219" s="161">
        <f t="shared" si="120"/>
        <v>0</v>
      </c>
      <c r="AF219" s="174">
        <f t="shared" si="120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21"/>
        <v>0</v>
      </c>
      <c r="D220" s="161">
        <f t="shared" si="121"/>
        <v>0</v>
      </c>
      <c r="E220" s="161">
        <f t="shared" si="121"/>
        <v>0</v>
      </c>
      <c r="F220" s="161">
        <f t="shared" si="121"/>
        <v>0</v>
      </c>
      <c r="G220" s="161">
        <f t="shared" si="121"/>
        <v>0</v>
      </c>
      <c r="H220" s="161">
        <f t="shared" si="121"/>
        <v>0</v>
      </c>
      <c r="I220" s="161">
        <f t="shared" si="121"/>
        <v>0</v>
      </c>
      <c r="J220" s="161">
        <f t="shared" si="121"/>
        <v>0</v>
      </c>
      <c r="K220" s="161">
        <f t="shared" si="121"/>
        <v>0</v>
      </c>
      <c r="L220" s="161">
        <f t="shared" si="121"/>
        <v>0</v>
      </c>
      <c r="M220" s="161">
        <f t="shared" si="121"/>
        <v>0</v>
      </c>
      <c r="N220" s="161">
        <f t="shared" si="121"/>
        <v>0</v>
      </c>
      <c r="O220" s="161">
        <f t="shared" si="121"/>
        <v>0</v>
      </c>
      <c r="P220" s="161">
        <f t="shared" si="121"/>
        <v>0</v>
      </c>
      <c r="Q220" s="161">
        <f t="shared" si="121"/>
        <v>0</v>
      </c>
      <c r="R220" s="161">
        <f t="shared" si="121"/>
        <v>0</v>
      </c>
      <c r="S220" s="161">
        <f t="shared" si="120"/>
        <v>0</v>
      </c>
      <c r="T220" s="161">
        <f t="shared" si="120"/>
        <v>0</v>
      </c>
      <c r="U220" s="161">
        <f t="shared" si="120"/>
        <v>0</v>
      </c>
      <c r="V220" s="161">
        <f t="shared" si="120"/>
        <v>0</v>
      </c>
      <c r="W220" s="161">
        <f t="shared" si="120"/>
        <v>0</v>
      </c>
      <c r="X220" s="161">
        <f t="shared" si="120"/>
        <v>0</v>
      </c>
      <c r="Y220" s="161">
        <f t="shared" si="120"/>
        <v>0</v>
      </c>
      <c r="Z220" s="161">
        <f t="shared" si="120"/>
        <v>0</v>
      </c>
      <c r="AA220" s="161">
        <f t="shared" si="120"/>
        <v>0</v>
      </c>
      <c r="AB220" s="161">
        <f t="shared" si="120"/>
        <v>0</v>
      </c>
      <c r="AC220" s="161">
        <f t="shared" si="120"/>
        <v>0</v>
      </c>
      <c r="AD220" s="161">
        <f t="shared" si="120"/>
        <v>0</v>
      </c>
      <c r="AE220" s="161">
        <f t="shared" si="120"/>
        <v>0</v>
      </c>
      <c r="AF220" s="174">
        <f t="shared" si="120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21"/>
        <v>0</v>
      </c>
      <c r="D221" s="161">
        <f t="shared" si="121"/>
        <v>0</v>
      </c>
      <c r="E221" s="161">
        <f t="shared" si="121"/>
        <v>0</v>
      </c>
      <c r="F221" s="161">
        <f t="shared" si="121"/>
        <v>0</v>
      </c>
      <c r="G221" s="161">
        <f t="shared" si="121"/>
        <v>0</v>
      </c>
      <c r="H221" s="161">
        <f t="shared" si="121"/>
        <v>0</v>
      </c>
      <c r="I221" s="161">
        <f t="shared" si="121"/>
        <v>0</v>
      </c>
      <c r="J221" s="161">
        <f t="shared" si="121"/>
        <v>0</v>
      </c>
      <c r="K221" s="161">
        <f t="shared" si="121"/>
        <v>0</v>
      </c>
      <c r="L221" s="161">
        <f t="shared" si="121"/>
        <v>0</v>
      </c>
      <c r="M221" s="161">
        <f t="shared" si="121"/>
        <v>0</v>
      </c>
      <c r="N221" s="161">
        <f t="shared" si="121"/>
        <v>0</v>
      </c>
      <c r="O221" s="161">
        <f t="shared" si="121"/>
        <v>0</v>
      </c>
      <c r="P221" s="161">
        <f t="shared" si="121"/>
        <v>0</v>
      </c>
      <c r="Q221" s="161">
        <f t="shared" si="121"/>
        <v>0</v>
      </c>
      <c r="R221" s="161">
        <f t="shared" si="121"/>
        <v>0</v>
      </c>
      <c r="S221" s="161">
        <f t="shared" si="120"/>
        <v>0</v>
      </c>
      <c r="T221" s="161">
        <f t="shared" si="120"/>
        <v>0</v>
      </c>
      <c r="U221" s="161">
        <f t="shared" si="120"/>
        <v>0</v>
      </c>
      <c r="V221" s="161">
        <f t="shared" si="120"/>
        <v>0</v>
      </c>
      <c r="W221" s="161">
        <f t="shared" si="120"/>
        <v>0</v>
      </c>
      <c r="X221" s="161">
        <f t="shared" si="120"/>
        <v>0</v>
      </c>
      <c r="Y221" s="161">
        <f t="shared" si="120"/>
        <v>0</v>
      </c>
      <c r="Z221" s="161">
        <f t="shared" si="120"/>
        <v>0</v>
      </c>
      <c r="AA221" s="161">
        <f t="shared" si="120"/>
        <v>0</v>
      </c>
      <c r="AB221" s="161">
        <f t="shared" si="120"/>
        <v>0</v>
      </c>
      <c r="AC221" s="161">
        <f t="shared" si="120"/>
        <v>0</v>
      </c>
      <c r="AD221" s="161">
        <f t="shared" si="120"/>
        <v>0</v>
      </c>
      <c r="AE221" s="161">
        <f t="shared" si="120"/>
        <v>0</v>
      </c>
      <c r="AF221" s="174">
        <f t="shared" si="120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21"/>
        <v>0</v>
      </c>
      <c r="D222" s="161">
        <f t="shared" si="121"/>
        <v>0</v>
      </c>
      <c r="E222" s="161">
        <f t="shared" si="121"/>
        <v>0</v>
      </c>
      <c r="F222" s="161">
        <f t="shared" si="121"/>
        <v>0</v>
      </c>
      <c r="G222" s="161">
        <f t="shared" si="121"/>
        <v>0</v>
      </c>
      <c r="H222" s="161">
        <f t="shared" si="121"/>
        <v>0</v>
      </c>
      <c r="I222" s="161">
        <f t="shared" si="121"/>
        <v>0</v>
      </c>
      <c r="J222" s="161">
        <f t="shared" si="121"/>
        <v>0</v>
      </c>
      <c r="K222" s="161">
        <f t="shared" si="121"/>
        <v>0</v>
      </c>
      <c r="L222" s="161">
        <f t="shared" si="121"/>
        <v>0</v>
      </c>
      <c r="M222" s="161">
        <f t="shared" si="121"/>
        <v>0</v>
      </c>
      <c r="N222" s="161">
        <f t="shared" si="121"/>
        <v>0</v>
      </c>
      <c r="O222" s="161">
        <f t="shared" si="121"/>
        <v>0</v>
      </c>
      <c r="P222" s="161">
        <f t="shared" si="121"/>
        <v>0</v>
      </c>
      <c r="Q222" s="161">
        <f t="shared" si="121"/>
        <v>0</v>
      </c>
      <c r="R222" s="161">
        <f t="shared" si="121"/>
        <v>0</v>
      </c>
      <c r="S222" s="161">
        <f t="shared" si="120"/>
        <v>0</v>
      </c>
      <c r="T222" s="161">
        <f t="shared" si="120"/>
        <v>0</v>
      </c>
      <c r="U222" s="161">
        <f t="shared" si="120"/>
        <v>0</v>
      </c>
      <c r="V222" s="161">
        <f t="shared" si="120"/>
        <v>0</v>
      </c>
      <c r="W222" s="161">
        <f t="shared" si="120"/>
        <v>0</v>
      </c>
      <c r="X222" s="161">
        <f t="shared" si="120"/>
        <v>0</v>
      </c>
      <c r="Y222" s="161">
        <f t="shared" si="120"/>
        <v>0</v>
      </c>
      <c r="Z222" s="161">
        <f t="shared" si="120"/>
        <v>0</v>
      </c>
      <c r="AA222" s="161">
        <f t="shared" si="120"/>
        <v>0</v>
      </c>
      <c r="AB222" s="161">
        <f t="shared" si="120"/>
        <v>0</v>
      </c>
      <c r="AC222" s="161">
        <f t="shared" si="120"/>
        <v>0</v>
      </c>
      <c r="AD222" s="161">
        <f t="shared" si="120"/>
        <v>0</v>
      </c>
      <c r="AE222" s="161">
        <f t="shared" si="120"/>
        <v>0</v>
      </c>
      <c r="AF222" s="174">
        <f t="shared" si="120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21"/>
        <v>0</v>
      </c>
      <c r="D223" s="161">
        <f t="shared" si="121"/>
        <v>0</v>
      </c>
      <c r="E223" s="161">
        <f t="shared" si="121"/>
        <v>0</v>
      </c>
      <c r="F223" s="161">
        <f t="shared" si="121"/>
        <v>0</v>
      </c>
      <c r="G223" s="161">
        <f t="shared" si="121"/>
        <v>0</v>
      </c>
      <c r="H223" s="161">
        <f t="shared" si="121"/>
        <v>0</v>
      </c>
      <c r="I223" s="161">
        <f t="shared" si="121"/>
        <v>0</v>
      </c>
      <c r="J223" s="161">
        <f t="shared" si="121"/>
        <v>0</v>
      </c>
      <c r="K223" s="161">
        <f t="shared" si="121"/>
        <v>0</v>
      </c>
      <c r="L223" s="161">
        <f t="shared" si="121"/>
        <v>0</v>
      </c>
      <c r="M223" s="161">
        <f t="shared" si="121"/>
        <v>0</v>
      </c>
      <c r="N223" s="161">
        <f t="shared" si="121"/>
        <v>0</v>
      </c>
      <c r="O223" s="161">
        <f t="shared" si="121"/>
        <v>0</v>
      </c>
      <c r="P223" s="161">
        <f t="shared" si="121"/>
        <v>0</v>
      </c>
      <c r="Q223" s="161">
        <f t="shared" si="121"/>
        <v>0</v>
      </c>
      <c r="R223" s="161">
        <f t="shared" si="121"/>
        <v>0</v>
      </c>
      <c r="S223" s="161">
        <f t="shared" si="120"/>
        <v>0</v>
      </c>
      <c r="T223" s="161">
        <f t="shared" si="120"/>
        <v>0</v>
      </c>
      <c r="U223" s="161">
        <f t="shared" si="120"/>
        <v>0</v>
      </c>
      <c r="V223" s="161">
        <f t="shared" si="120"/>
        <v>0</v>
      </c>
      <c r="W223" s="161">
        <f t="shared" si="120"/>
        <v>0</v>
      </c>
      <c r="X223" s="161">
        <f t="shared" si="120"/>
        <v>0</v>
      </c>
      <c r="Y223" s="161">
        <f t="shared" si="120"/>
        <v>0</v>
      </c>
      <c r="Z223" s="161">
        <f t="shared" si="120"/>
        <v>0</v>
      </c>
      <c r="AA223" s="161">
        <f t="shared" si="120"/>
        <v>0</v>
      </c>
      <c r="AB223" s="161">
        <f t="shared" si="120"/>
        <v>0</v>
      </c>
      <c r="AC223" s="161">
        <f t="shared" si="120"/>
        <v>0</v>
      </c>
      <c r="AD223" s="161">
        <f t="shared" si="120"/>
        <v>0</v>
      </c>
      <c r="AE223" s="161">
        <f t="shared" si="120"/>
        <v>0</v>
      </c>
      <c r="AF223" s="174">
        <f t="shared" si="120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21"/>
        <v>0</v>
      </c>
      <c r="D224" s="161">
        <f t="shared" si="121"/>
        <v>0</v>
      </c>
      <c r="E224" s="161">
        <f t="shared" si="121"/>
        <v>0</v>
      </c>
      <c r="F224" s="161">
        <f t="shared" si="121"/>
        <v>0</v>
      </c>
      <c r="G224" s="161">
        <f t="shared" si="121"/>
        <v>0</v>
      </c>
      <c r="H224" s="161">
        <f t="shared" si="121"/>
        <v>0</v>
      </c>
      <c r="I224" s="161">
        <f t="shared" si="121"/>
        <v>0</v>
      </c>
      <c r="J224" s="161">
        <f t="shared" si="121"/>
        <v>0</v>
      </c>
      <c r="K224" s="161">
        <f t="shared" si="121"/>
        <v>0</v>
      </c>
      <c r="L224" s="161">
        <f t="shared" si="121"/>
        <v>0</v>
      </c>
      <c r="M224" s="161">
        <f t="shared" si="121"/>
        <v>0</v>
      </c>
      <c r="N224" s="161">
        <f t="shared" si="121"/>
        <v>0</v>
      </c>
      <c r="O224" s="161">
        <f t="shared" si="121"/>
        <v>0</v>
      </c>
      <c r="P224" s="161">
        <f t="shared" si="121"/>
        <v>0</v>
      </c>
      <c r="Q224" s="161">
        <f t="shared" si="121"/>
        <v>0</v>
      </c>
      <c r="R224" s="161">
        <f t="shared" si="121"/>
        <v>0</v>
      </c>
      <c r="S224" s="161">
        <f t="shared" si="120"/>
        <v>0</v>
      </c>
      <c r="T224" s="161">
        <f t="shared" si="120"/>
        <v>0</v>
      </c>
      <c r="U224" s="161">
        <f t="shared" si="120"/>
        <v>0</v>
      </c>
      <c r="V224" s="161">
        <f t="shared" si="120"/>
        <v>0</v>
      </c>
      <c r="W224" s="161">
        <f t="shared" si="120"/>
        <v>0</v>
      </c>
      <c r="X224" s="161">
        <f t="shared" si="120"/>
        <v>0</v>
      </c>
      <c r="Y224" s="161">
        <f t="shared" si="120"/>
        <v>0</v>
      </c>
      <c r="Z224" s="161">
        <f t="shared" si="120"/>
        <v>0</v>
      </c>
      <c r="AA224" s="161">
        <f t="shared" si="120"/>
        <v>0</v>
      </c>
      <c r="AB224" s="161">
        <f t="shared" si="120"/>
        <v>0</v>
      </c>
      <c r="AC224" s="161">
        <f t="shared" si="120"/>
        <v>0</v>
      </c>
      <c r="AD224" s="161">
        <f t="shared" si="120"/>
        <v>0</v>
      </c>
      <c r="AE224" s="161">
        <f t="shared" si="120"/>
        <v>0</v>
      </c>
      <c r="AF224" s="174">
        <f t="shared" si="120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21"/>
        <v>0</v>
      </c>
      <c r="D225" s="161">
        <f t="shared" si="121"/>
        <v>0</v>
      </c>
      <c r="E225" s="161">
        <f t="shared" si="121"/>
        <v>0</v>
      </c>
      <c r="F225" s="161">
        <f t="shared" si="121"/>
        <v>0</v>
      </c>
      <c r="G225" s="161">
        <f t="shared" si="121"/>
        <v>0</v>
      </c>
      <c r="H225" s="161">
        <f t="shared" si="121"/>
        <v>0</v>
      </c>
      <c r="I225" s="161">
        <f t="shared" si="121"/>
        <v>0</v>
      </c>
      <c r="J225" s="161">
        <f t="shared" si="121"/>
        <v>0</v>
      </c>
      <c r="K225" s="161">
        <f t="shared" si="121"/>
        <v>0</v>
      </c>
      <c r="L225" s="161">
        <f t="shared" si="121"/>
        <v>0</v>
      </c>
      <c r="M225" s="161">
        <f t="shared" si="121"/>
        <v>0</v>
      </c>
      <c r="N225" s="161">
        <f t="shared" si="121"/>
        <v>0</v>
      </c>
      <c r="O225" s="161">
        <f t="shared" si="121"/>
        <v>0</v>
      </c>
      <c r="P225" s="161">
        <f t="shared" si="121"/>
        <v>0</v>
      </c>
      <c r="Q225" s="161">
        <f t="shared" si="121"/>
        <v>0</v>
      </c>
      <c r="R225" s="161">
        <f t="shared" si="121"/>
        <v>0</v>
      </c>
      <c r="S225" s="161">
        <f t="shared" si="120"/>
        <v>0</v>
      </c>
      <c r="T225" s="161">
        <f t="shared" si="120"/>
        <v>0</v>
      </c>
      <c r="U225" s="161">
        <f t="shared" si="120"/>
        <v>0</v>
      </c>
      <c r="V225" s="161">
        <f t="shared" si="120"/>
        <v>0</v>
      </c>
      <c r="W225" s="161">
        <f t="shared" si="120"/>
        <v>0</v>
      </c>
      <c r="X225" s="161">
        <f t="shared" si="120"/>
        <v>0</v>
      </c>
      <c r="Y225" s="161">
        <f t="shared" si="120"/>
        <v>0</v>
      </c>
      <c r="Z225" s="161">
        <f t="shared" si="120"/>
        <v>0</v>
      </c>
      <c r="AA225" s="161">
        <f t="shared" si="120"/>
        <v>0</v>
      </c>
      <c r="AB225" s="161">
        <f t="shared" si="120"/>
        <v>0</v>
      </c>
      <c r="AC225" s="161">
        <f t="shared" si="120"/>
        <v>0</v>
      </c>
      <c r="AD225" s="161">
        <f t="shared" si="120"/>
        <v>0</v>
      </c>
      <c r="AE225" s="161">
        <f t="shared" si="120"/>
        <v>0</v>
      </c>
      <c r="AF225" s="174">
        <f t="shared" si="120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21"/>
        <v>0</v>
      </c>
      <c r="D226" s="161">
        <f t="shared" si="121"/>
        <v>0</v>
      </c>
      <c r="E226" s="161">
        <f t="shared" si="121"/>
        <v>0</v>
      </c>
      <c r="F226" s="161">
        <f t="shared" si="121"/>
        <v>0</v>
      </c>
      <c r="G226" s="161">
        <f t="shared" si="121"/>
        <v>0</v>
      </c>
      <c r="H226" s="161">
        <f t="shared" si="121"/>
        <v>0</v>
      </c>
      <c r="I226" s="161">
        <f t="shared" si="121"/>
        <v>0</v>
      </c>
      <c r="J226" s="161">
        <f t="shared" si="121"/>
        <v>0</v>
      </c>
      <c r="K226" s="161">
        <f t="shared" si="121"/>
        <v>0</v>
      </c>
      <c r="L226" s="161">
        <f t="shared" si="121"/>
        <v>0</v>
      </c>
      <c r="M226" s="161">
        <f t="shared" si="121"/>
        <v>0</v>
      </c>
      <c r="N226" s="161">
        <f t="shared" si="121"/>
        <v>0</v>
      </c>
      <c r="O226" s="161">
        <f t="shared" si="121"/>
        <v>0</v>
      </c>
      <c r="P226" s="161">
        <f t="shared" si="121"/>
        <v>0</v>
      </c>
      <c r="Q226" s="161">
        <f t="shared" si="121"/>
        <v>0</v>
      </c>
      <c r="R226" s="161">
        <f t="shared" si="121"/>
        <v>0</v>
      </c>
      <c r="S226" s="161">
        <f t="shared" si="120"/>
        <v>0</v>
      </c>
      <c r="T226" s="161">
        <f t="shared" si="120"/>
        <v>0</v>
      </c>
      <c r="U226" s="161">
        <f t="shared" si="120"/>
        <v>0</v>
      </c>
      <c r="V226" s="161">
        <f t="shared" si="120"/>
        <v>0</v>
      </c>
      <c r="W226" s="161">
        <f t="shared" si="120"/>
        <v>0</v>
      </c>
      <c r="X226" s="161">
        <f t="shared" si="120"/>
        <v>0</v>
      </c>
      <c r="Y226" s="161">
        <f t="shared" si="120"/>
        <v>0</v>
      </c>
      <c r="Z226" s="161">
        <f t="shared" si="120"/>
        <v>0</v>
      </c>
      <c r="AA226" s="161">
        <f t="shared" si="120"/>
        <v>0</v>
      </c>
      <c r="AB226" s="161">
        <f t="shared" si="120"/>
        <v>0</v>
      </c>
      <c r="AC226" s="161">
        <f t="shared" si="120"/>
        <v>0</v>
      </c>
      <c r="AD226" s="161">
        <f t="shared" si="120"/>
        <v>0</v>
      </c>
      <c r="AE226" s="161">
        <f t="shared" si="120"/>
        <v>0</v>
      </c>
      <c r="AF226" s="174">
        <f t="shared" si="120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21"/>
        <v>0</v>
      </c>
      <c r="D227" s="161">
        <f t="shared" si="121"/>
        <v>0</v>
      </c>
      <c r="E227" s="161">
        <f t="shared" si="121"/>
        <v>0</v>
      </c>
      <c r="F227" s="161">
        <f t="shared" si="121"/>
        <v>0</v>
      </c>
      <c r="G227" s="161">
        <f t="shared" si="121"/>
        <v>0</v>
      </c>
      <c r="H227" s="161">
        <f t="shared" si="121"/>
        <v>0</v>
      </c>
      <c r="I227" s="161">
        <f t="shared" si="121"/>
        <v>0</v>
      </c>
      <c r="J227" s="161">
        <f t="shared" si="121"/>
        <v>0</v>
      </c>
      <c r="K227" s="161">
        <f t="shared" si="121"/>
        <v>0</v>
      </c>
      <c r="L227" s="161">
        <f t="shared" si="121"/>
        <v>0</v>
      </c>
      <c r="M227" s="161">
        <f t="shared" si="121"/>
        <v>0</v>
      </c>
      <c r="N227" s="161">
        <f t="shared" si="121"/>
        <v>0</v>
      </c>
      <c r="O227" s="161">
        <f t="shared" si="121"/>
        <v>0</v>
      </c>
      <c r="P227" s="161">
        <f t="shared" si="121"/>
        <v>0</v>
      </c>
      <c r="Q227" s="161">
        <f t="shared" si="121"/>
        <v>0</v>
      </c>
      <c r="R227" s="161">
        <f t="shared" si="121"/>
        <v>0</v>
      </c>
      <c r="S227" s="161">
        <f t="shared" si="120"/>
        <v>0</v>
      </c>
      <c r="T227" s="161">
        <f t="shared" si="120"/>
        <v>0</v>
      </c>
      <c r="U227" s="161">
        <f t="shared" si="120"/>
        <v>0</v>
      </c>
      <c r="V227" s="161">
        <f t="shared" si="120"/>
        <v>0</v>
      </c>
      <c r="W227" s="161">
        <f t="shared" si="120"/>
        <v>0</v>
      </c>
      <c r="X227" s="161">
        <f t="shared" si="120"/>
        <v>0</v>
      </c>
      <c r="Y227" s="161">
        <f t="shared" si="120"/>
        <v>0</v>
      </c>
      <c r="Z227" s="161">
        <f t="shared" si="120"/>
        <v>0</v>
      </c>
      <c r="AA227" s="161">
        <f t="shared" si="120"/>
        <v>0</v>
      </c>
      <c r="AB227" s="161">
        <f t="shared" si="120"/>
        <v>0</v>
      </c>
      <c r="AC227" s="161">
        <f t="shared" si="120"/>
        <v>0</v>
      </c>
      <c r="AD227" s="161">
        <f t="shared" si="120"/>
        <v>0</v>
      </c>
      <c r="AE227" s="161">
        <f t="shared" si="120"/>
        <v>0</v>
      </c>
      <c r="AF227" s="174">
        <f t="shared" si="120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21"/>
        <v>0</v>
      </c>
      <c r="D228" s="161">
        <f t="shared" si="121"/>
        <v>0</v>
      </c>
      <c r="E228" s="161">
        <f t="shared" si="121"/>
        <v>0</v>
      </c>
      <c r="F228" s="161">
        <f t="shared" si="121"/>
        <v>0</v>
      </c>
      <c r="G228" s="161">
        <f t="shared" si="121"/>
        <v>0</v>
      </c>
      <c r="H228" s="161">
        <f t="shared" si="121"/>
        <v>0</v>
      </c>
      <c r="I228" s="161">
        <f t="shared" si="121"/>
        <v>0</v>
      </c>
      <c r="J228" s="161">
        <f t="shared" si="121"/>
        <v>0</v>
      </c>
      <c r="K228" s="161">
        <f t="shared" si="121"/>
        <v>0</v>
      </c>
      <c r="L228" s="161">
        <f t="shared" si="121"/>
        <v>0</v>
      </c>
      <c r="M228" s="161">
        <f t="shared" si="121"/>
        <v>0</v>
      </c>
      <c r="N228" s="161">
        <f t="shared" si="121"/>
        <v>0</v>
      </c>
      <c r="O228" s="161">
        <f t="shared" si="121"/>
        <v>0</v>
      </c>
      <c r="P228" s="161">
        <f t="shared" si="121"/>
        <v>0</v>
      </c>
      <c r="Q228" s="161">
        <f t="shared" si="121"/>
        <v>0</v>
      </c>
      <c r="R228" s="161">
        <f t="shared" si="121"/>
        <v>0</v>
      </c>
      <c r="S228" s="161">
        <f t="shared" si="120"/>
        <v>0</v>
      </c>
      <c r="T228" s="161">
        <f t="shared" si="120"/>
        <v>0</v>
      </c>
      <c r="U228" s="161">
        <f t="shared" si="120"/>
        <v>0</v>
      </c>
      <c r="V228" s="161">
        <f t="shared" si="120"/>
        <v>0</v>
      </c>
      <c r="W228" s="161">
        <f t="shared" si="120"/>
        <v>0</v>
      </c>
      <c r="X228" s="161">
        <f t="shared" si="120"/>
        <v>0</v>
      </c>
      <c r="Y228" s="161">
        <f t="shared" si="120"/>
        <v>0</v>
      </c>
      <c r="Z228" s="161">
        <f t="shared" si="120"/>
        <v>0</v>
      </c>
      <c r="AA228" s="161">
        <f t="shared" si="120"/>
        <v>0</v>
      </c>
      <c r="AB228" s="161">
        <f t="shared" si="120"/>
        <v>0</v>
      </c>
      <c r="AC228" s="161">
        <f t="shared" si="120"/>
        <v>0</v>
      </c>
      <c r="AD228" s="161">
        <f t="shared" si="120"/>
        <v>0</v>
      </c>
      <c r="AE228" s="161">
        <f t="shared" si="120"/>
        <v>0</v>
      </c>
      <c r="AF228" s="174">
        <f t="shared" si="120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21"/>
        <v>0</v>
      </c>
      <c r="D229" s="161">
        <f t="shared" si="121"/>
        <v>0</v>
      </c>
      <c r="E229" s="161">
        <f t="shared" si="121"/>
        <v>0</v>
      </c>
      <c r="F229" s="161">
        <f t="shared" si="121"/>
        <v>0</v>
      </c>
      <c r="G229" s="161">
        <f t="shared" si="121"/>
        <v>0</v>
      </c>
      <c r="H229" s="161">
        <f t="shared" si="121"/>
        <v>0</v>
      </c>
      <c r="I229" s="161">
        <f t="shared" si="121"/>
        <v>0</v>
      </c>
      <c r="J229" s="161">
        <f t="shared" si="121"/>
        <v>0</v>
      </c>
      <c r="K229" s="161">
        <f t="shared" si="121"/>
        <v>0</v>
      </c>
      <c r="L229" s="161">
        <f t="shared" si="121"/>
        <v>0</v>
      </c>
      <c r="M229" s="161">
        <f t="shared" si="121"/>
        <v>0</v>
      </c>
      <c r="N229" s="161">
        <f t="shared" si="121"/>
        <v>0</v>
      </c>
      <c r="O229" s="161">
        <f t="shared" si="121"/>
        <v>0</v>
      </c>
      <c r="P229" s="161">
        <f t="shared" si="121"/>
        <v>0</v>
      </c>
      <c r="Q229" s="161">
        <f t="shared" si="121"/>
        <v>0</v>
      </c>
      <c r="R229" s="161">
        <f t="shared" si="121"/>
        <v>0</v>
      </c>
      <c r="S229" s="161">
        <f t="shared" si="120"/>
        <v>0</v>
      </c>
      <c r="T229" s="161">
        <f t="shared" si="120"/>
        <v>0</v>
      </c>
      <c r="U229" s="161">
        <f t="shared" si="120"/>
        <v>0</v>
      </c>
      <c r="V229" s="161">
        <f t="shared" si="120"/>
        <v>0</v>
      </c>
      <c r="W229" s="161">
        <f t="shared" si="120"/>
        <v>0</v>
      </c>
      <c r="X229" s="161">
        <f t="shared" si="120"/>
        <v>0</v>
      </c>
      <c r="Y229" s="161">
        <f t="shared" si="120"/>
        <v>0</v>
      </c>
      <c r="Z229" s="161">
        <f t="shared" si="120"/>
        <v>0</v>
      </c>
      <c r="AA229" s="161">
        <f t="shared" si="120"/>
        <v>0</v>
      </c>
      <c r="AB229" s="161">
        <f t="shared" si="120"/>
        <v>0</v>
      </c>
      <c r="AC229" s="161">
        <f t="shared" si="120"/>
        <v>0</v>
      </c>
      <c r="AD229" s="161">
        <f t="shared" si="120"/>
        <v>0</v>
      </c>
      <c r="AE229" s="161">
        <f t="shared" si="120"/>
        <v>0</v>
      </c>
      <c r="AF229" s="174">
        <f t="shared" si="120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21"/>
        <v>0</v>
      </c>
      <c r="D230" s="161">
        <f t="shared" si="121"/>
        <v>0</v>
      </c>
      <c r="E230" s="161">
        <f t="shared" si="121"/>
        <v>0</v>
      </c>
      <c r="F230" s="161">
        <f t="shared" si="121"/>
        <v>0</v>
      </c>
      <c r="G230" s="161">
        <f t="shared" si="121"/>
        <v>0</v>
      </c>
      <c r="H230" s="161">
        <f t="shared" si="121"/>
        <v>0</v>
      </c>
      <c r="I230" s="161">
        <f t="shared" si="121"/>
        <v>0</v>
      </c>
      <c r="J230" s="161">
        <f t="shared" si="121"/>
        <v>0</v>
      </c>
      <c r="K230" s="161">
        <f t="shared" si="121"/>
        <v>0</v>
      </c>
      <c r="L230" s="161">
        <f t="shared" si="121"/>
        <v>0</v>
      </c>
      <c r="M230" s="161">
        <f t="shared" si="121"/>
        <v>0</v>
      </c>
      <c r="N230" s="161">
        <f t="shared" si="121"/>
        <v>0</v>
      </c>
      <c r="O230" s="161">
        <f t="shared" si="121"/>
        <v>0</v>
      </c>
      <c r="P230" s="161">
        <f t="shared" si="121"/>
        <v>0</v>
      </c>
      <c r="Q230" s="161">
        <f t="shared" si="121"/>
        <v>0</v>
      </c>
      <c r="R230" s="161">
        <f t="shared" si="121"/>
        <v>0</v>
      </c>
      <c r="S230" s="161">
        <f t="shared" si="120"/>
        <v>0</v>
      </c>
      <c r="T230" s="161">
        <f t="shared" si="120"/>
        <v>0</v>
      </c>
      <c r="U230" s="161">
        <f t="shared" si="120"/>
        <v>0</v>
      </c>
      <c r="V230" s="161">
        <f t="shared" si="120"/>
        <v>0</v>
      </c>
      <c r="W230" s="161">
        <f t="shared" si="120"/>
        <v>0</v>
      </c>
      <c r="X230" s="161">
        <f t="shared" si="120"/>
        <v>0</v>
      </c>
      <c r="Y230" s="161">
        <f t="shared" si="120"/>
        <v>0</v>
      </c>
      <c r="Z230" s="161">
        <f t="shared" si="120"/>
        <v>0</v>
      </c>
      <c r="AA230" s="161">
        <f t="shared" si="120"/>
        <v>0</v>
      </c>
      <c r="AB230" s="161">
        <f t="shared" si="120"/>
        <v>0</v>
      </c>
      <c r="AC230" s="161">
        <f t="shared" si="120"/>
        <v>0</v>
      </c>
      <c r="AD230" s="161">
        <f t="shared" si="120"/>
        <v>0</v>
      </c>
      <c r="AE230" s="161">
        <f t="shared" si="120"/>
        <v>0</v>
      </c>
      <c r="AF230" s="174">
        <f t="shared" si="120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21"/>
        <v>0</v>
      </c>
      <c r="D231" s="161">
        <f t="shared" si="121"/>
        <v>0</v>
      </c>
      <c r="E231" s="161">
        <f t="shared" si="121"/>
        <v>0</v>
      </c>
      <c r="F231" s="161">
        <f t="shared" si="121"/>
        <v>0</v>
      </c>
      <c r="G231" s="161">
        <f t="shared" si="121"/>
        <v>0</v>
      </c>
      <c r="H231" s="161">
        <f t="shared" si="121"/>
        <v>0</v>
      </c>
      <c r="I231" s="161">
        <f t="shared" si="121"/>
        <v>0</v>
      </c>
      <c r="J231" s="161">
        <f t="shared" si="121"/>
        <v>0</v>
      </c>
      <c r="K231" s="161">
        <f t="shared" si="121"/>
        <v>0</v>
      </c>
      <c r="L231" s="161">
        <f t="shared" si="121"/>
        <v>0</v>
      </c>
      <c r="M231" s="161">
        <f t="shared" si="121"/>
        <v>0</v>
      </c>
      <c r="N231" s="161">
        <f t="shared" si="121"/>
        <v>0</v>
      </c>
      <c r="O231" s="161">
        <f t="shared" si="121"/>
        <v>0</v>
      </c>
      <c r="P231" s="161">
        <f t="shared" si="121"/>
        <v>0</v>
      </c>
      <c r="Q231" s="161">
        <f t="shared" si="121"/>
        <v>0</v>
      </c>
      <c r="R231" s="161">
        <f t="shared" si="121"/>
        <v>0</v>
      </c>
      <c r="S231" s="161">
        <f t="shared" si="120"/>
        <v>0</v>
      </c>
      <c r="T231" s="161">
        <f t="shared" si="120"/>
        <v>0</v>
      </c>
      <c r="U231" s="161">
        <f t="shared" si="120"/>
        <v>0</v>
      </c>
      <c r="V231" s="161">
        <f t="shared" si="120"/>
        <v>0</v>
      </c>
      <c r="W231" s="161">
        <f t="shared" si="120"/>
        <v>0</v>
      </c>
      <c r="X231" s="161">
        <f t="shared" si="120"/>
        <v>0</v>
      </c>
      <c r="Y231" s="161">
        <f t="shared" si="120"/>
        <v>0</v>
      </c>
      <c r="Z231" s="161">
        <f t="shared" si="120"/>
        <v>0</v>
      </c>
      <c r="AA231" s="161">
        <f t="shared" si="120"/>
        <v>0</v>
      </c>
      <c r="AB231" s="161">
        <f t="shared" si="120"/>
        <v>0</v>
      </c>
      <c r="AC231" s="161">
        <f t="shared" si="120"/>
        <v>0</v>
      </c>
      <c r="AD231" s="161">
        <f t="shared" si="120"/>
        <v>0</v>
      </c>
      <c r="AE231" s="161">
        <f t="shared" si="120"/>
        <v>0</v>
      </c>
      <c r="AF231" s="174">
        <f t="shared" si="120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21"/>
        <v>0</v>
      </c>
      <c r="D232" s="161">
        <f t="shared" si="121"/>
        <v>0</v>
      </c>
      <c r="E232" s="161">
        <f t="shared" si="121"/>
        <v>0</v>
      </c>
      <c r="F232" s="161">
        <f t="shared" si="121"/>
        <v>0</v>
      </c>
      <c r="G232" s="161">
        <f t="shared" si="121"/>
        <v>0</v>
      </c>
      <c r="H232" s="161">
        <f t="shared" si="121"/>
        <v>0</v>
      </c>
      <c r="I232" s="161">
        <f t="shared" si="121"/>
        <v>0</v>
      </c>
      <c r="J232" s="161">
        <f t="shared" si="121"/>
        <v>0</v>
      </c>
      <c r="K232" s="161">
        <f t="shared" si="121"/>
        <v>0</v>
      </c>
      <c r="L232" s="161">
        <f t="shared" si="121"/>
        <v>0</v>
      </c>
      <c r="M232" s="161">
        <f t="shared" si="121"/>
        <v>0</v>
      </c>
      <c r="N232" s="161">
        <f t="shared" si="121"/>
        <v>0</v>
      </c>
      <c r="O232" s="161">
        <f t="shared" si="121"/>
        <v>0</v>
      </c>
      <c r="P232" s="161">
        <f t="shared" si="121"/>
        <v>0</v>
      </c>
      <c r="Q232" s="161">
        <f t="shared" si="121"/>
        <v>0</v>
      </c>
      <c r="R232" s="161">
        <f t="shared" ref="R232:AF247" si="122">Q232</f>
        <v>0</v>
      </c>
      <c r="S232" s="161">
        <f t="shared" si="122"/>
        <v>0</v>
      </c>
      <c r="T232" s="161">
        <f t="shared" si="122"/>
        <v>0</v>
      </c>
      <c r="U232" s="161">
        <f t="shared" si="122"/>
        <v>0</v>
      </c>
      <c r="V232" s="161">
        <f t="shared" si="122"/>
        <v>0</v>
      </c>
      <c r="W232" s="161">
        <f t="shared" si="122"/>
        <v>0</v>
      </c>
      <c r="X232" s="161">
        <f t="shared" si="122"/>
        <v>0</v>
      </c>
      <c r="Y232" s="161">
        <f t="shared" si="122"/>
        <v>0</v>
      </c>
      <c r="Z232" s="161">
        <f t="shared" si="122"/>
        <v>0</v>
      </c>
      <c r="AA232" s="161">
        <f t="shared" si="122"/>
        <v>0</v>
      </c>
      <c r="AB232" s="161">
        <f t="shared" si="122"/>
        <v>0</v>
      </c>
      <c r="AC232" s="161">
        <f t="shared" si="122"/>
        <v>0</v>
      </c>
      <c r="AD232" s="161">
        <f t="shared" si="122"/>
        <v>0</v>
      </c>
      <c r="AE232" s="161">
        <f t="shared" si="122"/>
        <v>0</v>
      </c>
      <c r="AF232" s="174">
        <f t="shared" si="122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23">B233</f>
        <v>0</v>
      </c>
      <c r="D233" s="161">
        <f t="shared" si="123"/>
        <v>0</v>
      </c>
      <c r="E233" s="161">
        <f t="shared" si="123"/>
        <v>0</v>
      </c>
      <c r="F233" s="161">
        <f t="shared" si="123"/>
        <v>0</v>
      </c>
      <c r="G233" s="161">
        <f t="shared" si="123"/>
        <v>0</v>
      </c>
      <c r="H233" s="161">
        <f t="shared" si="123"/>
        <v>0</v>
      </c>
      <c r="I233" s="161">
        <f t="shared" si="123"/>
        <v>0</v>
      </c>
      <c r="J233" s="161">
        <f t="shared" si="123"/>
        <v>0</v>
      </c>
      <c r="K233" s="161">
        <f t="shared" si="123"/>
        <v>0</v>
      </c>
      <c r="L233" s="161">
        <f t="shared" si="123"/>
        <v>0</v>
      </c>
      <c r="M233" s="161">
        <f t="shared" si="123"/>
        <v>0</v>
      </c>
      <c r="N233" s="161">
        <f t="shared" si="123"/>
        <v>0</v>
      </c>
      <c r="O233" s="161">
        <f t="shared" si="123"/>
        <v>0</v>
      </c>
      <c r="P233" s="161">
        <f t="shared" si="123"/>
        <v>0</v>
      </c>
      <c r="Q233" s="161">
        <f t="shared" si="123"/>
        <v>0</v>
      </c>
      <c r="R233" s="161">
        <f t="shared" si="123"/>
        <v>0</v>
      </c>
      <c r="S233" s="161">
        <f t="shared" si="122"/>
        <v>0</v>
      </c>
      <c r="T233" s="161">
        <f t="shared" si="122"/>
        <v>0</v>
      </c>
      <c r="U233" s="161">
        <f t="shared" si="122"/>
        <v>0</v>
      </c>
      <c r="V233" s="161">
        <f t="shared" si="122"/>
        <v>0</v>
      </c>
      <c r="W233" s="161">
        <f t="shared" si="122"/>
        <v>0</v>
      </c>
      <c r="X233" s="161">
        <f t="shared" si="122"/>
        <v>0</v>
      </c>
      <c r="Y233" s="161">
        <f t="shared" si="122"/>
        <v>0</v>
      </c>
      <c r="Z233" s="161">
        <f t="shared" si="122"/>
        <v>0</v>
      </c>
      <c r="AA233" s="161">
        <f t="shared" si="122"/>
        <v>0</v>
      </c>
      <c r="AB233" s="161">
        <f t="shared" si="122"/>
        <v>0</v>
      </c>
      <c r="AC233" s="161">
        <f t="shared" si="122"/>
        <v>0</v>
      </c>
      <c r="AD233" s="161">
        <f t="shared" si="122"/>
        <v>0</v>
      </c>
      <c r="AE233" s="161">
        <f t="shared" si="122"/>
        <v>0</v>
      </c>
      <c r="AF233" s="174">
        <f t="shared" si="122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23"/>
        <v>0</v>
      </c>
      <c r="D234" s="161">
        <f t="shared" si="123"/>
        <v>0</v>
      </c>
      <c r="E234" s="161">
        <f t="shared" si="123"/>
        <v>0</v>
      </c>
      <c r="F234" s="161">
        <f t="shared" si="123"/>
        <v>0</v>
      </c>
      <c r="G234" s="161">
        <f t="shared" si="123"/>
        <v>0</v>
      </c>
      <c r="H234" s="161">
        <f t="shared" si="123"/>
        <v>0</v>
      </c>
      <c r="I234" s="161">
        <f t="shared" si="123"/>
        <v>0</v>
      </c>
      <c r="J234" s="161">
        <f t="shared" si="123"/>
        <v>0</v>
      </c>
      <c r="K234" s="161">
        <f t="shared" si="123"/>
        <v>0</v>
      </c>
      <c r="L234" s="161">
        <f t="shared" si="123"/>
        <v>0</v>
      </c>
      <c r="M234" s="161">
        <f t="shared" si="123"/>
        <v>0</v>
      </c>
      <c r="N234" s="161">
        <f t="shared" si="123"/>
        <v>0</v>
      </c>
      <c r="O234" s="161">
        <f t="shared" si="123"/>
        <v>0</v>
      </c>
      <c r="P234" s="161">
        <f t="shared" si="123"/>
        <v>0</v>
      </c>
      <c r="Q234" s="161">
        <f t="shared" si="123"/>
        <v>0</v>
      </c>
      <c r="R234" s="161">
        <f t="shared" si="123"/>
        <v>0</v>
      </c>
      <c r="S234" s="161">
        <f t="shared" si="122"/>
        <v>0</v>
      </c>
      <c r="T234" s="161">
        <f t="shared" si="122"/>
        <v>0</v>
      </c>
      <c r="U234" s="161">
        <f t="shared" si="122"/>
        <v>0</v>
      </c>
      <c r="V234" s="161">
        <f t="shared" si="122"/>
        <v>0</v>
      </c>
      <c r="W234" s="161">
        <f t="shared" si="122"/>
        <v>0</v>
      </c>
      <c r="X234" s="161">
        <f t="shared" si="122"/>
        <v>0</v>
      </c>
      <c r="Y234" s="161">
        <f t="shared" si="122"/>
        <v>0</v>
      </c>
      <c r="Z234" s="161">
        <f t="shared" si="122"/>
        <v>0</v>
      </c>
      <c r="AA234" s="161">
        <f t="shared" si="122"/>
        <v>0</v>
      </c>
      <c r="AB234" s="161">
        <f t="shared" si="122"/>
        <v>0</v>
      </c>
      <c r="AC234" s="161">
        <f t="shared" si="122"/>
        <v>0</v>
      </c>
      <c r="AD234" s="161">
        <f t="shared" si="122"/>
        <v>0</v>
      </c>
      <c r="AE234" s="161">
        <f t="shared" si="122"/>
        <v>0</v>
      </c>
      <c r="AF234" s="174">
        <f t="shared" si="122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23"/>
        <v>0</v>
      </c>
      <c r="D235" s="161">
        <f t="shared" si="123"/>
        <v>0</v>
      </c>
      <c r="E235" s="161">
        <f t="shared" si="123"/>
        <v>0</v>
      </c>
      <c r="F235" s="161">
        <f t="shared" si="123"/>
        <v>0</v>
      </c>
      <c r="G235" s="161">
        <f t="shared" si="123"/>
        <v>0</v>
      </c>
      <c r="H235" s="161">
        <f t="shared" si="123"/>
        <v>0</v>
      </c>
      <c r="I235" s="161">
        <f t="shared" si="123"/>
        <v>0</v>
      </c>
      <c r="J235" s="161">
        <f t="shared" si="123"/>
        <v>0</v>
      </c>
      <c r="K235" s="161">
        <f t="shared" si="123"/>
        <v>0</v>
      </c>
      <c r="L235" s="161">
        <f t="shared" si="123"/>
        <v>0</v>
      </c>
      <c r="M235" s="161">
        <f t="shared" si="123"/>
        <v>0</v>
      </c>
      <c r="N235" s="161">
        <f t="shared" si="123"/>
        <v>0</v>
      </c>
      <c r="O235" s="161">
        <f t="shared" si="123"/>
        <v>0</v>
      </c>
      <c r="P235" s="161">
        <f t="shared" si="123"/>
        <v>0</v>
      </c>
      <c r="Q235" s="161">
        <f t="shared" si="123"/>
        <v>0</v>
      </c>
      <c r="R235" s="161">
        <f t="shared" si="123"/>
        <v>0</v>
      </c>
      <c r="S235" s="161">
        <f t="shared" si="122"/>
        <v>0</v>
      </c>
      <c r="T235" s="161">
        <f t="shared" si="122"/>
        <v>0</v>
      </c>
      <c r="U235" s="161">
        <f t="shared" si="122"/>
        <v>0</v>
      </c>
      <c r="V235" s="161">
        <f t="shared" si="122"/>
        <v>0</v>
      </c>
      <c r="W235" s="161">
        <f t="shared" si="122"/>
        <v>0</v>
      </c>
      <c r="X235" s="161">
        <f t="shared" si="122"/>
        <v>0</v>
      </c>
      <c r="Y235" s="161">
        <f t="shared" si="122"/>
        <v>0</v>
      </c>
      <c r="Z235" s="161">
        <f t="shared" si="122"/>
        <v>0</v>
      </c>
      <c r="AA235" s="161">
        <f t="shared" si="122"/>
        <v>0</v>
      </c>
      <c r="AB235" s="161">
        <f t="shared" si="122"/>
        <v>0</v>
      </c>
      <c r="AC235" s="161">
        <f t="shared" si="122"/>
        <v>0</v>
      </c>
      <c r="AD235" s="161">
        <f t="shared" si="122"/>
        <v>0</v>
      </c>
      <c r="AE235" s="161">
        <f t="shared" si="122"/>
        <v>0</v>
      </c>
      <c r="AF235" s="174">
        <f t="shared" si="122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23"/>
        <v>0</v>
      </c>
      <c r="D236" s="161">
        <f t="shared" si="123"/>
        <v>0</v>
      </c>
      <c r="E236" s="161">
        <f t="shared" si="123"/>
        <v>0</v>
      </c>
      <c r="F236" s="161">
        <f t="shared" si="123"/>
        <v>0</v>
      </c>
      <c r="G236" s="161">
        <f t="shared" si="123"/>
        <v>0</v>
      </c>
      <c r="H236" s="161">
        <f t="shared" si="123"/>
        <v>0</v>
      </c>
      <c r="I236" s="161">
        <f t="shared" si="123"/>
        <v>0</v>
      </c>
      <c r="J236" s="161">
        <f t="shared" si="123"/>
        <v>0</v>
      </c>
      <c r="K236" s="161">
        <f t="shared" si="123"/>
        <v>0</v>
      </c>
      <c r="L236" s="161">
        <f t="shared" si="123"/>
        <v>0</v>
      </c>
      <c r="M236" s="161">
        <f t="shared" si="123"/>
        <v>0</v>
      </c>
      <c r="N236" s="161">
        <f t="shared" si="123"/>
        <v>0</v>
      </c>
      <c r="O236" s="161">
        <f t="shared" si="123"/>
        <v>0</v>
      </c>
      <c r="P236" s="161">
        <f t="shared" si="123"/>
        <v>0</v>
      </c>
      <c r="Q236" s="161">
        <f t="shared" si="123"/>
        <v>0</v>
      </c>
      <c r="R236" s="161">
        <f t="shared" si="123"/>
        <v>0</v>
      </c>
      <c r="S236" s="161">
        <f t="shared" si="122"/>
        <v>0</v>
      </c>
      <c r="T236" s="161">
        <f t="shared" si="122"/>
        <v>0</v>
      </c>
      <c r="U236" s="161">
        <f t="shared" si="122"/>
        <v>0</v>
      </c>
      <c r="V236" s="161">
        <f t="shared" si="122"/>
        <v>0</v>
      </c>
      <c r="W236" s="161">
        <f t="shared" si="122"/>
        <v>0</v>
      </c>
      <c r="X236" s="161">
        <f t="shared" si="122"/>
        <v>0</v>
      </c>
      <c r="Y236" s="161">
        <f t="shared" si="122"/>
        <v>0</v>
      </c>
      <c r="Z236" s="161">
        <f t="shared" si="122"/>
        <v>0</v>
      </c>
      <c r="AA236" s="161">
        <f t="shared" si="122"/>
        <v>0</v>
      </c>
      <c r="AB236" s="161">
        <f t="shared" si="122"/>
        <v>0</v>
      </c>
      <c r="AC236" s="161">
        <f t="shared" si="122"/>
        <v>0</v>
      </c>
      <c r="AD236" s="161">
        <f t="shared" si="122"/>
        <v>0</v>
      </c>
      <c r="AE236" s="161">
        <f t="shared" si="122"/>
        <v>0</v>
      </c>
      <c r="AF236" s="174">
        <f t="shared" si="122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23"/>
        <v>0</v>
      </c>
      <c r="D237" s="161">
        <f t="shared" si="123"/>
        <v>0</v>
      </c>
      <c r="E237" s="161">
        <f t="shared" si="123"/>
        <v>0</v>
      </c>
      <c r="F237" s="161">
        <f t="shared" si="123"/>
        <v>0</v>
      </c>
      <c r="G237" s="161">
        <f t="shared" si="123"/>
        <v>0</v>
      </c>
      <c r="H237" s="161">
        <f t="shared" si="123"/>
        <v>0</v>
      </c>
      <c r="I237" s="161">
        <f t="shared" si="123"/>
        <v>0</v>
      </c>
      <c r="J237" s="161">
        <f t="shared" si="123"/>
        <v>0</v>
      </c>
      <c r="K237" s="161">
        <f t="shared" si="123"/>
        <v>0</v>
      </c>
      <c r="L237" s="161">
        <f t="shared" si="123"/>
        <v>0</v>
      </c>
      <c r="M237" s="161">
        <f t="shared" si="123"/>
        <v>0</v>
      </c>
      <c r="N237" s="161">
        <f t="shared" si="123"/>
        <v>0</v>
      </c>
      <c r="O237" s="161">
        <f t="shared" si="123"/>
        <v>0</v>
      </c>
      <c r="P237" s="161">
        <f t="shared" si="123"/>
        <v>0</v>
      </c>
      <c r="Q237" s="161">
        <f t="shared" si="123"/>
        <v>0</v>
      </c>
      <c r="R237" s="161">
        <f t="shared" si="123"/>
        <v>0</v>
      </c>
      <c r="S237" s="161">
        <f t="shared" si="122"/>
        <v>0</v>
      </c>
      <c r="T237" s="161">
        <f t="shared" si="122"/>
        <v>0</v>
      </c>
      <c r="U237" s="161">
        <f t="shared" si="122"/>
        <v>0</v>
      </c>
      <c r="V237" s="161">
        <f t="shared" si="122"/>
        <v>0</v>
      </c>
      <c r="W237" s="161">
        <f t="shared" si="122"/>
        <v>0</v>
      </c>
      <c r="X237" s="161">
        <f t="shared" si="122"/>
        <v>0</v>
      </c>
      <c r="Y237" s="161">
        <f t="shared" si="122"/>
        <v>0</v>
      </c>
      <c r="Z237" s="161">
        <f t="shared" si="122"/>
        <v>0</v>
      </c>
      <c r="AA237" s="161">
        <f t="shared" si="122"/>
        <v>0</v>
      </c>
      <c r="AB237" s="161">
        <f t="shared" si="122"/>
        <v>0</v>
      </c>
      <c r="AC237" s="161">
        <f t="shared" si="122"/>
        <v>0</v>
      </c>
      <c r="AD237" s="161">
        <f t="shared" si="122"/>
        <v>0</v>
      </c>
      <c r="AE237" s="161">
        <f t="shared" si="122"/>
        <v>0</v>
      </c>
      <c r="AF237" s="174">
        <f t="shared" si="122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23"/>
        <v>0</v>
      </c>
      <c r="D238" s="161">
        <f t="shared" si="123"/>
        <v>0</v>
      </c>
      <c r="E238" s="161">
        <f t="shared" si="123"/>
        <v>0</v>
      </c>
      <c r="F238" s="161">
        <f t="shared" si="123"/>
        <v>0</v>
      </c>
      <c r="G238" s="161">
        <f t="shared" si="123"/>
        <v>0</v>
      </c>
      <c r="H238" s="161">
        <f t="shared" si="123"/>
        <v>0</v>
      </c>
      <c r="I238" s="161">
        <f t="shared" si="123"/>
        <v>0</v>
      </c>
      <c r="J238" s="161">
        <f t="shared" si="123"/>
        <v>0</v>
      </c>
      <c r="K238" s="161">
        <f t="shared" si="123"/>
        <v>0</v>
      </c>
      <c r="L238" s="161">
        <f t="shared" si="123"/>
        <v>0</v>
      </c>
      <c r="M238" s="161">
        <f t="shared" si="123"/>
        <v>0</v>
      </c>
      <c r="N238" s="161">
        <f t="shared" si="123"/>
        <v>0</v>
      </c>
      <c r="O238" s="161">
        <f t="shared" si="123"/>
        <v>0</v>
      </c>
      <c r="P238" s="161">
        <f t="shared" si="123"/>
        <v>0</v>
      </c>
      <c r="Q238" s="161">
        <f t="shared" si="123"/>
        <v>0</v>
      </c>
      <c r="R238" s="161">
        <f t="shared" si="123"/>
        <v>0</v>
      </c>
      <c r="S238" s="161">
        <f t="shared" si="122"/>
        <v>0</v>
      </c>
      <c r="T238" s="161">
        <f t="shared" si="122"/>
        <v>0</v>
      </c>
      <c r="U238" s="161">
        <f t="shared" si="122"/>
        <v>0</v>
      </c>
      <c r="V238" s="161">
        <f t="shared" si="122"/>
        <v>0</v>
      </c>
      <c r="W238" s="161">
        <f t="shared" si="122"/>
        <v>0</v>
      </c>
      <c r="X238" s="161">
        <f t="shared" si="122"/>
        <v>0</v>
      </c>
      <c r="Y238" s="161">
        <f t="shared" si="122"/>
        <v>0</v>
      </c>
      <c r="Z238" s="161">
        <f t="shared" si="122"/>
        <v>0</v>
      </c>
      <c r="AA238" s="161">
        <f t="shared" si="122"/>
        <v>0</v>
      </c>
      <c r="AB238" s="161">
        <f t="shared" si="122"/>
        <v>0</v>
      </c>
      <c r="AC238" s="161">
        <f t="shared" si="122"/>
        <v>0</v>
      </c>
      <c r="AD238" s="161">
        <f t="shared" si="122"/>
        <v>0</v>
      </c>
      <c r="AE238" s="161">
        <f t="shared" si="122"/>
        <v>0</v>
      </c>
      <c r="AF238" s="174">
        <f t="shared" si="122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23"/>
        <v>0</v>
      </c>
      <c r="D239" s="161">
        <f t="shared" si="123"/>
        <v>0</v>
      </c>
      <c r="E239" s="161">
        <f t="shared" si="123"/>
        <v>0</v>
      </c>
      <c r="F239" s="161">
        <f t="shared" si="123"/>
        <v>0</v>
      </c>
      <c r="G239" s="161">
        <f t="shared" si="123"/>
        <v>0</v>
      </c>
      <c r="H239" s="161">
        <f t="shared" si="123"/>
        <v>0</v>
      </c>
      <c r="I239" s="161">
        <f t="shared" si="123"/>
        <v>0</v>
      </c>
      <c r="J239" s="161">
        <f t="shared" si="123"/>
        <v>0</v>
      </c>
      <c r="K239" s="161">
        <f t="shared" si="123"/>
        <v>0</v>
      </c>
      <c r="L239" s="161">
        <f t="shared" si="123"/>
        <v>0</v>
      </c>
      <c r="M239" s="161">
        <f t="shared" si="123"/>
        <v>0</v>
      </c>
      <c r="N239" s="161">
        <f t="shared" si="123"/>
        <v>0</v>
      </c>
      <c r="O239" s="161">
        <f t="shared" si="123"/>
        <v>0</v>
      </c>
      <c r="P239" s="161">
        <f t="shared" si="123"/>
        <v>0</v>
      </c>
      <c r="Q239" s="161">
        <f t="shared" si="123"/>
        <v>0</v>
      </c>
      <c r="R239" s="161">
        <f t="shared" si="123"/>
        <v>0</v>
      </c>
      <c r="S239" s="161">
        <f t="shared" si="122"/>
        <v>0</v>
      </c>
      <c r="T239" s="161">
        <f t="shared" si="122"/>
        <v>0</v>
      </c>
      <c r="U239" s="161">
        <f t="shared" si="122"/>
        <v>0</v>
      </c>
      <c r="V239" s="161">
        <f t="shared" si="122"/>
        <v>0</v>
      </c>
      <c r="W239" s="161">
        <f t="shared" si="122"/>
        <v>0</v>
      </c>
      <c r="X239" s="161">
        <f t="shared" si="122"/>
        <v>0</v>
      </c>
      <c r="Y239" s="161">
        <f t="shared" si="122"/>
        <v>0</v>
      </c>
      <c r="Z239" s="161">
        <f t="shared" si="122"/>
        <v>0</v>
      </c>
      <c r="AA239" s="161">
        <f t="shared" si="122"/>
        <v>0</v>
      </c>
      <c r="AB239" s="161">
        <f t="shared" si="122"/>
        <v>0</v>
      </c>
      <c r="AC239" s="161">
        <f t="shared" si="122"/>
        <v>0</v>
      </c>
      <c r="AD239" s="161">
        <f t="shared" si="122"/>
        <v>0</v>
      </c>
      <c r="AE239" s="161">
        <f t="shared" si="122"/>
        <v>0</v>
      </c>
      <c r="AF239" s="174">
        <f t="shared" si="122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23"/>
        <v>0</v>
      </c>
      <c r="D240" s="161">
        <f t="shared" si="123"/>
        <v>0</v>
      </c>
      <c r="E240" s="161">
        <f t="shared" si="123"/>
        <v>0</v>
      </c>
      <c r="F240" s="161">
        <f t="shared" si="123"/>
        <v>0</v>
      </c>
      <c r="G240" s="161">
        <f t="shared" si="123"/>
        <v>0</v>
      </c>
      <c r="H240" s="161">
        <f t="shared" si="123"/>
        <v>0</v>
      </c>
      <c r="I240" s="161">
        <f t="shared" si="123"/>
        <v>0</v>
      </c>
      <c r="J240" s="161">
        <f t="shared" si="123"/>
        <v>0</v>
      </c>
      <c r="K240" s="161">
        <f t="shared" si="123"/>
        <v>0</v>
      </c>
      <c r="L240" s="161">
        <f t="shared" si="123"/>
        <v>0</v>
      </c>
      <c r="M240" s="161">
        <f t="shared" si="123"/>
        <v>0</v>
      </c>
      <c r="N240" s="161">
        <f t="shared" si="123"/>
        <v>0</v>
      </c>
      <c r="O240" s="161">
        <f t="shared" si="123"/>
        <v>0</v>
      </c>
      <c r="P240" s="161">
        <f t="shared" si="123"/>
        <v>0</v>
      </c>
      <c r="Q240" s="161">
        <f t="shared" si="123"/>
        <v>0</v>
      </c>
      <c r="R240" s="161">
        <f t="shared" si="123"/>
        <v>0</v>
      </c>
      <c r="S240" s="161">
        <f t="shared" si="122"/>
        <v>0</v>
      </c>
      <c r="T240" s="161">
        <f t="shared" si="122"/>
        <v>0</v>
      </c>
      <c r="U240" s="161">
        <f t="shared" si="122"/>
        <v>0</v>
      </c>
      <c r="V240" s="161">
        <f t="shared" si="122"/>
        <v>0</v>
      </c>
      <c r="W240" s="161">
        <f t="shared" si="122"/>
        <v>0</v>
      </c>
      <c r="X240" s="161">
        <f t="shared" si="122"/>
        <v>0</v>
      </c>
      <c r="Y240" s="161">
        <f t="shared" si="122"/>
        <v>0</v>
      </c>
      <c r="Z240" s="161">
        <f t="shared" si="122"/>
        <v>0</v>
      </c>
      <c r="AA240" s="161">
        <f t="shared" si="122"/>
        <v>0</v>
      </c>
      <c r="AB240" s="161">
        <f t="shared" si="122"/>
        <v>0</v>
      </c>
      <c r="AC240" s="161">
        <f t="shared" si="122"/>
        <v>0</v>
      </c>
      <c r="AD240" s="161">
        <f t="shared" si="122"/>
        <v>0</v>
      </c>
      <c r="AE240" s="161">
        <f t="shared" si="122"/>
        <v>0</v>
      </c>
      <c r="AF240" s="174">
        <f t="shared" si="122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23"/>
        <v>0</v>
      </c>
      <c r="D241" s="161">
        <f t="shared" si="123"/>
        <v>0</v>
      </c>
      <c r="E241" s="161">
        <f t="shared" si="123"/>
        <v>0</v>
      </c>
      <c r="F241" s="161">
        <f t="shared" si="123"/>
        <v>0</v>
      </c>
      <c r="G241" s="161">
        <f t="shared" si="123"/>
        <v>0</v>
      </c>
      <c r="H241" s="161">
        <f t="shared" si="123"/>
        <v>0</v>
      </c>
      <c r="I241" s="161">
        <f t="shared" si="123"/>
        <v>0</v>
      </c>
      <c r="J241" s="161">
        <f t="shared" si="123"/>
        <v>0</v>
      </c>
      <c r="K241" s="161">
        <f t="shared" si="123"/>
        <v>0</v>
      </c>
      <c r="L241" s="161">
        <f t="shared" si="123"/>
        <v>0</v>
      </c>
      <c r="M241" s="161">
        <f t="shared" si="123"/>
        <v>0</v>
      </c>
      <c r="N241" s="161">
        <f t="shared" si="123"/>
        <v>0</v>
      </c>
      <c r="O241" s="161">
        <f t="shared" si="123"/>
        <v>0</v>
      </c>
      <c r="P241" s="161">
        <f t="shared" si="123"/>
        <v>0</v>
      </c>
      <c r="Q241" s="161">
        <f t="shared" si="123"/>
        <v>0</v>
      </c>
      <c r="R241" s="161">
        <f t="shared" si="123"/>
        <v>0</v>
      </c>
      <c r="S241" s="161">
        <f t="shared" si="122"/>
        <v>0</v>
      </c>
      <c r="T241" s="161">
        <f t="shared" si="122"/>
        <v>0</v>
      </c>
      <c r="U241" s="161">
        <f t="shared" si="122"/>
        <v>0</v>
      </c>
      <c r="V241" s="161">
        <f t="shared" si="122"/>
        <v>0</v>
      </c>
      <c r="W241" s="161">
        <f t="shared" si="122"/>
        <v>0</v>
      </c>
      <c r="X241" s="161">
        <f t="shared" si="122"/>
        <v>0</v>
      </c>
      <c r="Y241" s="161">
        <f t="shared" si="122"/>
        <v>0</v>
      </c>
      <c r="Z241" s="161">
        <f t="shared" si="122"/>
        <v>0</v>
      </c>
      <c r="AA241" s="161">
        <f t="shared" si="122"/>
        <v>0</v>
      </c>
      <c r="AB241" s="161">
        <f t="shared" si="122"/>
        <v>0</v>
      </c>
      <c r="AC241" s="161">
        <f t="shared" si="122"/>
        <v>0</v>
      </c>
      <c r="AD241" s="161">
        <f t="shared" si="122"/>
        <v>0</v>
      </c>
      <c r="AE241" s="161">
        <f t="shared" si="122"/>
        <v>0</v>
      </c>
      <c r="AF241" s="174">
        <f t="shared" si="122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23"/>
        <v>0</v>
      </c>
      <c r="D242" s="161">
        <f t="shared" si="123"/>
        <v>0</v>
      </c>
      <c r="E242" s="161">
        <f t="shared" si="123"/>
        <v>0</v>
      </c>
      <c r="F242" s="161">
        <f t="shared" si="123"/>
        <v>0</v>
      </c>
      <c r="G242" s="161">
        <f t="shared" si="123"/>
        <v>0</v>
      </c>
      <c r="H242" s="161">
        <f t="shared" si="123"/>
        <v>0</v>
      </c>
      <c r="I242" s="161">
        <f t="shared" si="123"/>
        <v>0</v>
      </c>
      <c r="J242" s="161">
        <f t="shared" si="123"/>
        <v>0</v>
      </c>
      <c r="K242" s="161">
        <f t="shared" si="123"/>
        <v>0</v>
      </c>
      <c r="L242" s="161">
        <f t="shared" si="123"/>
        <v>0</v>
      </c>
      <c r="M242" s="161">
        <f t="shared" si="123"/>
        <v>0</v>
      </c>
      <c r="N242" s="161">
        <f t="shared" si="123"/>
        <v>0</v>
      </c>
      <c r="O242" s="161">
        <f t="shared" si="123"/>
        <v>0</v>
      </c>
      <c r="P242" s="161">
        <f t="shared" si="123"/>
        <v>0</v>
      </c>
      <c r="Q242" s="161">
        <f t="shared" si="123"/>
        <v>0</v>
      </c>
      <c r="R242" s="161">
        <f t="shared" si="123"/>
        <v>0</v>
      </c>
      <c r="S242" s="161">
        <f t="shared" si="122"/>
        <v>0</v>
      </c>
      <c r="T242" s="161">
        <f t="shared" si="122"/>
        <v>0</v>
      </c>
      <c r="U242" s="161">
        <f t="shared" si="122"/>
        <v>0</v>
      </c>
      <c r="V242" s="161">
        <f t="shared" si="122"/>
        <v>0</v>
      </c>
      <c r="W242" s="161">
        <f t="shared" si="122"/>
        <v>0</v>
      </c>
      <c r="X242" s="161">
        <f t="shared" si="122"/>
        <v>0</v>
      </c>
      <c r="Y242" s="161">
        <f t="shared" si="122"/>
        <v>0</v>
      </c>
      <c r="Z242" s="161">
        <f t="shared" si="122"/>
        <v>0</v>
      </c>
      <c r="AA242" s="161">
        <f t="shared" si="122"/>
        <v>0</v>
      </c>
      <c r="AB242" s="161">
        <f t="shared" si="122"/>
        <v>0</v>
      </c>
      <c r="AC242" s="161">
        <f t="shared" si="122"/>
        <v>0</v>
      </c>
      <c r="AD242" s="161">
        <f t="shared" si="122"/>
        <v>0</v>
      </c>
      <c r="AE242" s="161">
        <f t="shared" si="122"/>
        <v>0</v>
      </c>
      <c r="AF242" s="174">
        <f t="shared" si="122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23"/>
        <v>0</v>
      </c>
      <c r="D243" s="161">
        <f t="shared" si="123"/>
        <v>0</v>
      </c>
      <c r="E243" s="161">
        <f t="shared" si="123"/>
        <v>0</v>
      </c>
      <c r="F243" s="161">
        <f t="shared" si="123"/>
        <v>0</v>
      </c>
      <c r="G243" s="161">
        <f t="shared" si="123"/>
        <v>0</v>
      </c>
      <c r="H243" s="161">
        <f t="shared" si="123"/>
        <v>0</v>
      </c>
      <c r="I243" s="161">
        <f t="shared" si="123"/>
        <v>0</v>
      </c>
      <c r="J243" s="161">
        <f t="shared" si="123"/>
        <v>0</v>
      </c>
      <c r="K243" s="161">
        <f t="shared" si="123"/>
        <v>0</v>
      </c>
      <c r="L243" s="161">
        <f t="shared" si="123"/>
        <v>0</v>
      </c>
      <c r="M243" s="161">
        <f t="shared" si="123"/>
        <v>0</v>
      </c>
      <c r="N243" s="161">
        <f t="shared" si="123"/>
        <v>0</v>
      </c>
      <c r="O243" s="161">
        <f t="shared" si="123"/>
        <v>0</v>
      </c>
      <c r="P243" s="161">
        <f t="shared" si="123"/>
        <v>0</v>
      </c>
      <c r="Q243" s="161">
        <f t="shared" si="123"/>
        <v>0</v>
      </c>
      <c r="R243" s="161">
        <f t="shared" si="123"/>
        <v>0</v>
      </c>
      <c r="S243" s="161">
        <f t="shared" si="122"/>
        <v>0</v>
      </c>
      <c r="T243" s="161">
        <f t="shared" si="122"/>
        <v>0</v>
      </c>
      <c r="U243" s="161">
        <f t="shared" si="122"/>
        <v>0</v>
      </c>
      <c r="V243" s="161">
        <f t="shared" si="122"/>
        <v>0</v>
      </c>
      <c r="W243" s="161">
        <f t="shared" si="122"/>
        <v>0</v>
      </c>
      <c r="X243" s="161">
        <f t="shared" si="122"/>
        <v>0</v>
      </c>
      <c r="Y243" s="161">
        <f t="shared" si="122"/>
        <v>0</v>
      </c>
      <c r="Z243" s="161">
        <f t="shared" si="122"/>
        <v>0</v>
      </c>
      <c r="AA243" s="161">
        <f t="shared" si="122"/>
        <v>0</v>
      </c>
      <c r="AB243" s="161">
        <f t="shared" si="122"/>
        <v>0</v>
      </c>
      <c r="AC243" s="161">
        <f t="shared" si="122"/>
        <v>0</v>
      </c>
      <c r="AD243" s="161">
        <f t="shared" si="122"/>
        <v>0</v>
      </c>
      <c r="AE243" s="161">
        <f t="shared" si="122"/>
        <v>0</v>
      </c>
      <c r="AF243" s="174">
        <f t="shared" si="122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23"/>
        <v>0</v>
      </c>
      <c r="D244" s="161">
        <f t="shared" si="123"/>
        <v>0</v>
      </c>
      <c r="E244" s="161">
        <f t="shared" si="123"/>
        <v>0</v>
      </c>
      <c r="F244" s="161">
        <f t="shared" si="123"/>
        <v>0</v>
      </c>
      <c r="G244" s="161">
        <f t="shared" si="123"/>
        <v>0</v>
      </c>
      <c r="H244" s="161">
        <f t="shared" si="123"/>
        <v>0</v>
      </c>
      <c r="I244" s="161">
        <f t="shared" si="123"/>
        <v>0</v>
      </c>
      <c r="J244" s="161">
        <f t="shared" si="123"/>
        <v>0</v>
      </c>
      <c r="K244" s="161">
        <f t="shared" si="123"/>
        <v>0</v>
      </c>
      <c r="L244" s="161">
        <f t="shared" si="123"/>
        <v>0</v>
      </c>
      <c r="M244" s="161">
        <f t="shared" si="123"/>
        <v>0</v>
      </c>
      <c r="N244" s="161">
        <f t="shared" si="123"/>
        <v>0</v>
      </c>
      <c r="O244" s="161">
        <f t="shared" si="123"/>
        <v>0</v>
      </c>
      <c r="P244" s="161">
        <f t="shared" si="123"/>
        <v>0</v>
      </c>
      <c r="Q244" s="161">
        <f t="shared" si="123"/>
        <v>0</v>
      </c>
      <c r="R244" s="161">
        <f t="shared" si="123"/>
        <v>0</v>
      </c>
      <c r="S244" s="161">
        <f t="shared" si="122"/>
        <v>0</v>
      </c>
      <c r="T244" s="161">
        <f t="shared" si="122"/>
        <v>0</v>
      </c>
      <c r="U244" s="161">
        <f t="shared" si="122"/>
        <v>0</v>
      </c>
      <c r="V244" s="161">
        <f t="shared" si="122"/>
        <v>0</v>
      </c>
      <c r="W244" s="161">
        <f t="shared" si="122"/>
        <v>0</v>
      </c>
      <c r="X244" s="161">
        <f t="shared" si="122"/>
        <v>0</v>
      </c>
      <c r="Y244" s="161">
        <f t="shared" si="122"/>
        <v>0</v>
      </c>
      <c r="Z244" s="161">
        <f t="shared" si="122"/>
        <v>0</v>
      </c>
      <c r="AA244" s="161">
        <f t="shared" si="122"/>
        <v>0</v>
      </c>
      <c r="AB244" s="161">
        <f t="shared" si="122"/>
        <v>0</v>
      </c>
      <c r="AC244" s="161">
        <f t="shared" si="122"/>
        <v>0</v>
      </c>
      <c r="AD244" s="161">
        <f t="shared" si="122"/>
        <v>0</v>
      </c>
      <c r="AE244" s="161">
        <f t="shared" si="122"/>
        <v>0</v>
      </c>
      <c r="AF244" s="174">
        <f t="shared" si="122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23"/>
        <v>0</v>
      </c>
      <c r="D245" s="161">
        <f t="shared" si="123"/>
        <v>0</v>
      </c>
      <c r="E245" s="161">
        <f t="shared" si="123"/>
        <v>0</v>
      </c>
      <c r="F245" s="161">
        <f t="shared" si="123"/>
        <v>0</v>
      </c>
      <c r="G245" s="161">
        <f t="shared" si="123"/>
        <v>0</v>
      </c>
      <c r="H245" s="161">
        <f t="shared" si="123"/>
        <v>0</v>
      </c>
      <c r="I245" s="161">
        <f t="shared" si="123"/>
        <v>0</v>
      </c>
      <c r="J245" s="161">
        <f t="shared" si="123"/>
        <v>0</v>
      </c>
      <c r="K245" s="161">
        <f t="shared" si="123"/>
        <v>0</v>
      </c>
      <c r="L245" s="161">
        <f t="shared" si="123"/>
        <v>0</v>
      </c>
      <c r="M245" s="161">
        <f t="shared" si="123"/>
        <v>0</v>
      </c>
      <c r="N245" s="161">
        <f t="shared" si="123"/>
        <v>0</v>
      </c>
      <c r="O245" s="161">
        <f t="shared" si="123"/>
        <v>0</v>
      </c>
      <c r="P245" s="161">
        <f t="shared" si="123"/>
        <v>0</v>
      </c>
      <c r="Q245" s="161">
        <f t="shared" si="123"/>
        <v>0</v>
      </c>
      <c r="R245" s="161">
        <f t="shared" si="123"/>
        <v>0</v>
      </c>
      <c r="S245" s="161">
        <f t="shared" si="122"/>
        <v>0</v>
      </c>
      <c r="T245" s="161">
        <f t="shared" si="122"/>
        <v>0</v>
      </c>
      <c r="U245" s="161">
        <f t="shared" si="122"/>
        <v>0</v>
      </c>
      <c r="V245" s="161">
        <f t="shared" si="122"/>
        <v>0</v>
      </c>
      <c r="W245" s="161">
        <f t="shared" si="122"/>
        <v>0</v>
      </c>
      <c r="X245" s="161">
        <f t="shared" si="122"/>
        <v>0</v>
      </c>
      <c r="Y245" s="161">
        <f t="shared" si="122"/>
        <v>0</v>
      </c>
      <c r="Z245" s="161">
        <f t="shared" si="122"/>
        <v>0</v>
      </c>
      <c r="AA245" s="161">
        <f t="shared" si="122"/>
        <v>0</v>
      </c>
      <c r="AB245" s="161">
        <f t="shared" si="122"/>
        <v>0</v>
      </c>
      <c r="AC245" s="161">
        <f t="shared" si="122"/>
        <v>0</v>
      </c>
      <c r="AD245" s="161">
        <f t="shared" si="122"/>
        <v>0</v>
      </c>
      <c r="AE245" s="161">
        <f t="shared" si="122"/>
        <v>0</v>
      </c>
      <c r="AF245" s="174">
        <f t="shared" si="122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23"/>
        <v>0</v>
      </c>
      <c r="D246" s="161">
        <f t="shared" si="123"/>
        <v>0</v>
      </c>
      <c r="E246" s="161">
        <f t="shared" si="123"/>
        <v>0</v>
      </c>
      <c r="F246" s="161">
        <f t="shared" si="123"/>
        <v>0</v>
      </c>
      <c r="G246" s="161">
        <f t="shared" si="123"/>
        <v>0</v>
      </c>
      <c r="H246" s="161">
        <f t="shared" si="123"/>
        <v>0</v>
      </c>
      <c r="I246" s="161">
        <f t="shared" si="123"/>
        <v>0</v>
      </c>
      <c r="J246" s="161">
        <f t="shared" si="123"/>
        <v>0</v>
      </c>
      <c r="K246" s="161">
        <f t="shared" si="123"/>
        <v>0</v>
      </c>
      <c r="L246" s="161">
        <f t="shared" si="123"/>
        <v>0</v>
      </c>
      <c r="M246" s="161">
        <f t="shared" si="123"/>
        <v>0</v>
      </c>
      <c r="N246" s="161">
        <f t="shared" si="123"/>
        <v>0</v>
      </c>
      <c r="O246" s="161">
        <f t="shared" si="123"/>
        <v>0</v>
      </c>
      <c r="P246" s="161">
        <f t="shared" si="123"/>
        <v>0</v>
      </c>
      <c r="Q246" s="161">
        <f t="shared" si="123"/>
        <v>0</v>
      </c>
      <c r="R246" s="161">
        <f t="shared" si="123"/>
        <v>0</v>
      </c>
      <c r="S246" s="161">
        <f t="shared" si="122"/>
        <v>0</v>
      </c>
      <c r="T246" s="161">
        <f t="shared" si="122"/>
        <v>0</v>
      </c>
      <c r="U246" s="161">
        <f t="shared" si="122"/>
        <v>0</v>
      </c>
      <c r="V246" s="161">
        <f t="shared" si="122"/>
        <v>0</v>
      </c>
      <c r="W246" s="161">
        <f t="shared" si="122"/>
        <v>0</v>
      </c>
      <c r="X246" s="161">
        <f t="shared" si="122"/>
        <v>0</v>
      </c>
      <c r="Y246" s="161">
        <f t="shared" si="122"/>
        <v>0</v>
      </c>
      <c r="Z246" s="161">
        <f t="shared" si="122"/>
        <v>0</v>
      </c>
      <c r="AA246" s="161">
        <f t="shared" si="122"/>
        <v>0</v>
      </c>
      <c r="AB246" s="161">
        <f t="shared" si="122"/>
        <v>0</v>
      </c>
      <c r="AC246" s="161">
        <f t="shared" si="122"/>
        <v>0</v>
      </c>
      <c r="AD246" s="161">
        <f t="shared" si="122"/>
        <v>0</v>
      </c>
      <c r="AE246" s="161">
        <f t="shared" si="122"/>
        <v>0</v>
      </c>
      <c r="AF246" s="174">
        <f t="shared" si="122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23"/>
        <v>0</v>
      </c>
      <c r="D247" s="161">
        <f t="shared" si="123"/>
        <v>0</v>
      </c>
      <c r="E247" s="161">
        <f t="shared" si="123"/>
        <v>0</v>
      </c>
      <c r="F247" s="161">
        <f t="shared" si="123"/>
        <v>0</v>
      </c>
      <c r="G247" s="161">
        <f t="shared" si="123"/>
        <v>0</v>
      </c>
      <c r="H247" s="161">
        <f t="shared" si="123"/>
        <v>0</v>
      </c>
      <c r="I247" s="161">
        <f t="shared" si="123"/>
        <v>0</v>
      </c>
      <c r="J247" s="161">
        <f t="shared" si="123"/>
        <v>0</v>
      </c>
      <c r="K247" s="161">
        <f t="shared" si="123"/>
        <v>0</v>
      </c>
      <c r="L247" s="161">
        <f t="shared" si="123"/>
        <v>0</v>
      </c>
      <c r="M247" s="161">
        <f t="shared" si="123"/>
        <v>0</v>
      </c>
      <c r="N247" s="161">
        <f t="shared" si="123"/>
        <v>0</v>
      </c>
      <c r="O247" s="161">
        <f t="shared" si="123"/>
        <v>0</v>
      </c>
      <c r="P247" s="161">
        <f t="shared" si="123"/>
        <v>0</v>
      </c>
      <c r="Q247" s="161">
        <f t="shared" si="123"/>
        <v>0</v>
      </c>
      <c r="R247" s="161">
        <f t="shared" si="123"/>
        <v>0</v>
      </c>
      <c r="S247" s="161">
        <f t="shared" si="122"/>
        <v>0</v>
      </c>
      <c r="T247" s="161">
        <f t="shared" si="122"/>
        <v>0</v>
      </c>
      <c r="U247" s="161">
        <f t="shared" si="122"/>
        <v>0</v>
      </c>
      <c r="V247" s="161">
        <f t="shared" si="122"/>
        <v>0</v>
      </c>
      <c r="W247" s="161">
        <f t="shared" si="122"/>
        <v>0</v>
      </c>
      <c r="X247" s="161">
        <f t="shared" si="122"/>
        <v>0</v>
      </c>
      <c r="Y247" s="161">
        <f t="shared" si="122"/>
        <v>0</v>
      </c>
      <c r="Z247" s="161">
        <f t="shared" si="122"/>
        <v>0</v>
      </c>
      <c r="AA247" s="161">
        <f t="shared" si="122"/>
        <v>0</v>
      </c>
      <c r="AB247" s="161">
        <f t="shared" si="122"/>
        <v>0</v>
      </c>
      <c r="AC247" s="161">
        <f t="shared" si="122"/>
        <v>0</v>
      </c>
      <c r="AD247" s="161">
        <f t="shared" si="122"/>
        <v>0</v>
      </c>
      <c r="AE247" s="161">
        <f t="shared" si="122"/>
        <v>0</v>
      </c>
      <c r="AF247" s="174">
        <f t="shared" si="122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23"/>
        <v>0</v>
      </c>
      <c r="D248" s="161">
        <f t="shared" si="123"/>
        <v>0</v>
      </c>
      <c r="E248" s="161">
        <f t="shared" si="123"/>
        <v>0</v>
      </c>
      <c r="F248" s="161">
        <f t="shared" si="123"/>
        <v>0</v>
      </c>
      <c r="G248" s="161">
        <f t="shared" si="123"/>
        <v>0</v>
      </c>
      <c r="H248" s="161">
        <f t="shared" si="123"/>
        <v>0</v>
      </c>
      <c r="I248" s="161">
        <f t="shared" si="123"/>
        <v>0</v>
      </c>
      <c r="J248" s="161">
        <f t="shared" si="123"/>
        <v>0</v>
      </c>
      <c r="K248" s="161">
        <f t="shared" si="123"/>
        <v>0</v>
      </c>
      <c r="L248" s="161">
        <f t="shared" si="123"/>
        <v>0</v>
      </c>
      <c r="M248" s="161">
        <f t="shared" si="123"/>
        <v>0</v>
      </c>
      <c r="N248" s="161">
        <f t="shared" si="123"/>
        <v>0</v>
      </c>
      <c r="O248" s="161">
        <f t="shared" si="123"/>
        <v>0</v>
      </c>
      <c r="P248" s="161">
        <f t="shared" si="123"/>
        <v>0</v>
      </c>
      <c r="Q248" s="161">
        <f t="shared" si="123"/>
        <v>0</v>
      </c>
      <c r="R248" s="161">
        <f t="shared" ref="R248:AF263" si="124">Q248</f>
        <v>0</v>
      </c>
      <c r="S248" s="161">
        <f t="shared" si="124"/>
        <v>0</v>
      </c>
      <c r="T248" s="161">
        <f t="shared" si="124"/>
        <v>0</v>
      </c>
      <c r="U248" s="161">
        <f t="shared" si="124"/>
        <v>0</v>
      </c>
      <c r="V248" s="161">
        <f t="shared" si="124"/>
        <v>0</v>
      </c>
      <c r="W248" s="161">
        <f t="shared" si="124"/>
        <v>0</v>
      </c>
      <c r="X248" s="161">
        <f t="shared" si="124"/>
        <v>0</v>
      </c>
      <c r="Y248" s="161">
        <f t="shared" si="124"/>
        <v>0</v>
      </c>
      <c r="Z248" s="161">
        <f t="shared" si="124"/>
        <v>0</v>
      </c>
      <c r="AA248" s="161">
        <f t="shared" si="124"/>
        <v>0</v>
      </c>
      <c r="AB248" s="161">
        <f t="shared" si="124"/>
        <v>0</v>
      </c>
      <c r="AC248" s="161">
        <f t="shared" si="124"/>
        <v>0</v>
      </c>
      <c r="AD248" s="161">
        <f t="shared" si="124"/>
        <v>0</v>
      </c>
      <c r="AE248" s="161">
        <f t="shared" si="124"/>
        <v>0</v>
      </c>
      <c r="AF248" s="174">
        <f t="shared" si="124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25">B249</f>
        <v>0</v>
      </c>
      <c r="D249" s="161">
        <f t="shared" si="125"/>
        <v>0</v>
      </c>
      <c r="E249" s="161">
        <f t="shared" si="125"/>
        <v>0</v>
      </c>
      <c r="F249" s="161">
        <f t="shared" si="125"/>
        <v>0</v>
      </c>
      <c r="G249" s="161">
        <f t="shared" si="125"/>
        <v>0</v>
      </c>
      <c r="H249" s="161">
        <f t="shared" si="125"/>
        <v>0</v>
      </c>
      <c r="I249" s="161">
        <f t="shared" si="125"/>
        <v>0</v>
      </c>
      <c r="J249" s="161">
        <f t="shared" si="125"/>
        <v>0</v>
      </c>
      <c r="K249" s="161">
        <f t="shared" si="125"/>
        <v>0</v>
      </c>
      <c r="L249" s="161">
        <f t="shared" si="125"/>
        <v>0</v>
      </c>
      <c r="M249" s="161">
        <f t="shared" si="125"/>
        <v>0</v>
      </c>
      <c r="N249" s="161">
        <f t="shared" si="125"/>
        <v>0</v>
      </c>
      <c r="O249" s="161">
        <f t="shared" si="125"/>
        <v>0</v>
      </c>
      <c r="P249" s="161">
        <f t="shared" si="125"/>
        <v>0</v>
      </c>
      <c r="Q249" s="161">
        <f t="shared" si="125"/>
        <v>0</v>
      </c>
      <c r="R249" s="161">
        <f t="shared" si="124"/>
        <v>0</v>
      </c>
      <c r="S249" s="161">
        <f t="shared" si="124"/>
        <v>0</v>
      </c>
      <c r="T249" s="161">
        <f t="shared" si="124"/>
        <v>0</v>
      </c>
      <c r="U249" s="161">
        <f t="shared" si="124"/>
        <v>0</v>
      </c>
      <c r="V249" s="161">
        <f t="shared" si="124"/>
        <v>0</v>
      </c>
      <c r="W249" s="161">
        <f t="shared" si="124"/>
        <v>0</v>
      </c>
      <c r="X249" s="161">
        <f t="shared" si="124"/>
        <v>0</v>
      </c>
      <c r="Y249" s="161">
        <f t="shared" si="124"/>
        <v>0</v>
      </c>
      <c r="Z249" s="161">
        <f t="shared" si="124"/>
        <v>0</v>
      </c>
      <c r="AA249" s="161">
        <f t="shared" si="124"/>
        <v>0</v>
      </c>
      <c r="AB249" s="161">
        <f t="shared" si="124"/>
        <v>0</v>
      </c>
      <c r="AC249" s="161">
        <f t="shared" si="124"/>
        <v>0</v>
      </c>
      <c r="AD249" s="161">
        <f t="shared" si="124"/>
        <v>0</v>
      </c>
      <c r="AE249" s="161">
        <f t="shared" si="124"/>
        <v>0</v>
      </c>
      <c r="AF249" s="174">
        <f t="shared" si="124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25"/>
        <v>0</v>
      </c>
      <c r="D250" s="161">
        <f t="shared" si="125"/>
        <v>0</v>
      </c>
      <c r="E250" s="161">
        <f t="shared" si="125"/>
        <v>0</v>
      </c>
      <c r="F250" s="161">
        <f t="shared" si="125"/>
        <v>0</v>
      </c>
      <c r="G250" s="161">
        <f t="shared" si="125"/>
        <v>0</v>
      </c>
      <c r="H250" s="161">
        <f t="shared" si="125"/>
        <v>0</v>
      </c>
      <c r="I250" s="161">
        <f t="shared" si="125"/>
        <v>0</v>
      </c>
      <c r="J250" s="161">
        <f t="shared" si="125"/>
        <v>0</v>
      </c>
      <c r="K250" s="161">
        <f t="shared" si="125"/>
        <v>0</v>
      </c>
      <c r="L250" s="161">
        <f t="shared" si="125"/>
        <v>0</v>
      </c>
      <c r="M250" s="161">
        <f t="shared" si="125"/>
        <v>0</v>
      </c>
      <c r="N250" s="161">
        <f t="shared" si="125"/>
        <v>0</v>
      </c>
      <c r="O250" s="161">
        <f t="shared" si="125"/>
        <v>0</v>
      </c>
      <c r="P250" s="161">
        <f t="shared" si="125"/>
        <v>0</v>
      </c>
      <c r="Q250" s="161">
        <f t="shared" si="125"/>
        <v>0</v>
      </c>
      <c r="R250" s="161">
        <f t="shared" si="125"/>
        <v>0</v>
      </c>
      <c r="S250" s="161">
        <f t="shared" si="124"/>
        <v>0</v>
      </c>
      <c r="T250" s="161">
        <f t="shared" si="124"/>
        <v>0</v>
      </c>
      <c r="U250" s="161">
        <f t="shared" si="124"/>
        <v>0</v>
      </c>
      <c r="V250" s="161">
        <f t="shared" si="124"/>
        <v>0</v>
      </c>
      <c r="W250" s="161">
        <f t="shared" si="124"/>
        <v>0</v>
      </c>
      <c r="X250" s="161">
        <f t="shared" si="124"/>
        <v>0</v>
      </c>
      <c r="Y250" s="161">
        <f t="shared" si="124"/>
        <v>0</v>
      </c>
      <c r="Z250" s="161">
        <f t="shared" si="124"/>
        <v>0</v>
      </c>
      <c r="AA250" s="161">
        <f t="shared" si="124"/>
        <v>0</v>
      </c>
      <c r="AB250" s="161">
        <f t="shared" si="124"/>
        <v>0</v>
      </c>
      <c r="AC250" s="161">
        <f t="shared" si="124"/>
        <v>0</v>
      </c>
      <c r="AD250" s="161">
        <f t="shared" si="124"/>
        <v>0</v>
      </c>
      <c r="AE250" s="161">
        <f t="shared" si="124"/>
        <v>0</v>
      </c>
      <c r="AF250" s="174">
        <f t="shared" si="124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25"/>
        <v>0</v>
      </c>
      <c r="D251" s="161">
        <f t="shared" si="125"/>
        <v>0</v>
      </c>
      <c r="E251" s="161">
        <f t="shared" si="125"/>
        <v>0</v>
      </c>
      <c r="F251" s="161">
        <f t="shared" si="125"/>
        <v>0</v>
      </c>
      <c r="G251" s="161">
        <f t="shared" si="125"/>
        <v>0</v>
      </c>
      <c r="H251" s="161">
        <f t="shared" si="125"/>
        <v>0</v>
      </c>
      <c r="I251" s="161">
        <f t="shared" si="125"/>
        <v>0</v>
      </c>
      <c r="J251" s="161">
        <f t="shared" si="125"/>
        <v>0</v>
      </c>
      <c r="K251" s="161">
        <f t="shared" si="125"/>
        <v>0</v>
      </c>
      <c r="L251" s="161">
        <f t="shared" si="125"/>
        <v>0</v>
      </c>
      <c r="M251" s="161">
        <f t="shared" si="125"/>
        <v>0</v>
      </c>
      <c r="N251" s="161">
        <f t="shared" si="125"/>
        <v>0</v>
      </c>
      <c r="O251" s="161">
        <f t="shared" si="125"/>
        <v>0</v>
      </c>
      <c r="P251" s="161">
        <f t="shared" si="125"/>
        <v>0</v>
      </c>
      <c r="Q251" s="161">
        <f t="shared" si="125"/>
        <v>0</v>
      </c>
      <c r="R251" s="161">
        <f t="shared" si="125"/>
        <v>0</v>
      </c>
      <c r="S251" s="161">
        <f t="shared" si="124"/>
        <v>0</v>
      </c>
      <c r="T251" s="161">
        <f t="shared" si="124"/>
        <v>0</v>
      </c>
      <c r="U251" s="161">
        <f t="shared" si="124"/>
        <v>0</v>
      </c>
      <c r="V251" s="161">
        <f t="shared" si="124"/>
        <v>0</v>
      </c>
      <c r="W251" s="161">
        <f t="shared" si="124"/>
        <v>0</v>
      </c>
      <c r="X251" s="161">
        <f t="shared" si="124"/>
        <v>0</v>
      </c>
      <c r="Y251" s="161">
        <f t="shared" si="124"/>
        <v>0</v>
      </c>
      <c r="Z251" s="161">
        <f t="shared" si="124"/>
        <v>0</v>
      </c>
      <c r="AA251" s="161">
        <f t="shared" si="124"/>
        <v>0</v>
      </c>
      <c r="AB251" s="161">
        <f t="shared" si="124"/>
        <v>0</v>
      </c>
      <c r="AC251" s="161">
        <f t="shared" si="124"/>
        <v>0</v>
      </c>
      <c r="AD251" s="161">
        <f t="shared" si="124"/>
        <v>0</v>
      </c>
      <c r="AE251" s="161">
        <f t="shared" si="124"/>
        <v>0</v>
      </c>
      <c r="AF251" s="174">
        <f t="shared" si="124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25"/>
        <v>0</v>
      </c>
      <c r="D252" s="161">
        <f t="shared" si="125"/>
        <v>0</v>
      </c>
      <c r="E252" s="161">
        <f t="shared" si="125"/>
        <v>0</v>
      </c>
      <c r="F252" s="161">
        <f t="shared" si="125"/>
        <v>0</v>
      </c>
      <c r="G252" s="161">
        <f t="shared" si="125"/>
        <v>0</v>
      </c>
      <c r="H252" s="161">
        <f t="shared" si="125"/>
        <v>0</v>
      </c>
      <c r="I252" s="161">
        <f t="shared" si="125"/>
        <v>0</v>
      </c>
      <c r="J252" s="161">
        <f t="shared" si="125"/>
        <v>0</v>
      </c>
      <c r="K252" s="161">
        <f t="shared" si="125"/>
        <v>0</v>
      </c>
      <c r="L252" s="161">
        <f t="shared" si="125"/>
        <v>0</v>
      </c>
      <c r="M252" s="161">
        <f t="shared" si="125"/>
        <v>0</v>
      </c>
      <c r="N252" s="161">
        <f t="shared" si="125"/>
        <v>0</v>
      </c>
      <c r="O252" s="161">
        <f t="shared" si="125"/>
        <v>0</v>
      </c>
      <c r="P252" s="161">
        <f t="shared" si="125"/>
        <v>0</v>
      </c>
      <c r="Q252" s="161">
        <f t="shared" si="125"/>
        <v>0</v>
      </c>
      <c r="R252" s="161">
        <f t="shared" si="125"/>
        <v>0</v>
      </c>
      <c r="S252" s="161">
        <f t="shared" si="124"/>
        <v>0</v>
      </c>
      <c r="T252" s="161">
        <f t="shared" si="124"/>
        <v>0</v>
      </c>
      <c r="U252" s="161">
        <f t="shared" si="124"/>
        <v>0</v>
      </c>
      <c r="V252" s="161">
        <f t="shared" si="124"/>
        <v>0</v>
      </c>
      <c r="W252" s="161">
        <f t="shared" si="124"/>
        <v>0</v>
      </c>
      <c r="X252" s="161">
        <f t="shared" si="124"/>
        <v>0</v>
      </c>
      <c r="Y252" s="161">
        <f t="shared" si="124"/>
        <v>0</v>
      </c>
      <c r="Z252" s="161">
        <f t="shared" si="124"/>
        <v>0</v>
      </c>
      <c r="AA252" s="161">
        <f t="shared" si="124"/>
        <v>0</v>
      </c>
      <c r="AB252" s="161">
        <f t="shared" si="124"/>
        <v>0</v>
      </c>
      <c r="AC252" s="161">
        <f t="shared" si="124"/>
        <v>0</v>
      </c>
      <c r="AD252" s="161">
        <f t="shared" si="124"/>
        <v>0</v>
      </c>
      <c r="AE252" s="161">
        <f t="shared" si="124"/>
        <v>0</v>
      </c>
      <c r="AF252" s="174">
        <f t="shared" si="124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25"/>
        <v>0</v>
      </c>
      <c r="D253" s="161">
        <f t="shared" si="125"/>
        <v>0</v>
      </c>
      <c r="E253" s="161">
        <f t="shared" si="125"/>
        <v>0</v>
      </c>
      <c r="F253" s="161">
        <f t="shared" si="125"/>
        <v>0</v>
      </c>
      <c r="G253" s="161">
        <f t="shared" si="125"/>
        <v>0</v>
      </c>
      <c r="H253" s="161">
        <f t="shared" si="125"/>
        <v>0</v>
      </c>
      <c r="I253" s="161">
        <f t="shared" si="125"/>
        <v>0</v>
      </c>
      <c r="J253" s="161">
        <f t="shared" si="125"/>
        <v>0</v>
      </c>
      <c r="K253" s="161">
        <f t="shared" si="125"/>
        <v>0</v>
      </c>
      <c r="L253" s="161">
        <f t="shared" si="125"/>
        <v>0</v>
      </c>
      <c r="M253" s="161">
        <f t="shared" si="125"/>
        <v>0</v>
      </c>
      <c r="N253" s="161">
        <f t="shared" si="125"/>
        <v>0</v>
      </c>
      <c r="O253" s="161">
        <f t="shared" si="125"/>
        <v>0</v>
      </c>
      <c r="P253" s="161">
        <f t="shared" si="125"/>
        <v>0</v>
      </c>
      <c r="Q253" s="161">
        <f t="shared" si="125"/>
        <v>0</v>
      </c>
      <c r="R253" s="161">
        <f t="shared" si="125"/>
        <v>0</v>
      </c>
      <c r="S253" s="161">
        <f t="shared" si="124"/>
        <v>0</v>
      </c>
      <c r="T253" s="161">
        <f t="shared" si="124"/>
        <v>0</v>
      </c>
      <c r="U253" s="161">
        <f t="shared" si="124"/>
        <v>0</v>
      </c>
      <c r="V253" s="161">
        <f t="shared" si="124"/>
        <v>0</v>
      </c>
      <c r="W253" s="161">
        <f t="shared" si="124"/>
        <v>0</v>
      </c>
      <c r="X253" s="161">
        <f t="shared" si="124"/>
        <v>0</v>
      </c>
      <c r="Y253" s="161">
        <f t="shared" si="124"/>
        <v>0</v>
      </c>
      <c r="Z253" s="161">
        <f t="shared" si="124"/>
        <v>0</v>
      </c>
      <c r="AA253" s="161">
        <f t="shared" si="124"/>
        <v>0</v>
      </c>
      <c r="AB253" s="161">
        <f t="shared" si="124"/>
        <v>0</v>
      </c>
      <c r="AC253" s="161">
        <f t="shared" si="124"/>
        <v>0</v>
      </c>
      <c r="AD253" s="161">
        <f t="shared" si="124"/>
        <v>0</v>
      </c>
      <c r="AE253" s="161">
        <f t="shared" si="124"/>
        <v>0</v>
      </c>
      <c r="AF253" s="174">
        <f t="shared" si="124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25"/>
        <v>0</v>
      </c>
      <c r="D254" s="161">
        <f t="shared" si="125"/>
        <v>0</v>
      </c>
      <c r="E254" s="161">
        <f t="shared" si="125"/>
        <v>0</v>
      </c>
      <c r="F254" s="161">
        <f t="shared" si="125"/>
        <v>0</v>
      </c>
      <c r="G254" s="161">
        <f t="shared" si="125"/>
        <v>0</v>
      </c>
      <c r="H254" s="161">
        <f t="shared" si="125"/>
        <v>0</v>
      </c>
      <c r="I254" s="161">
        <f t="shared" si="125"/>
        <v>0</v>
      </c>
      <c r="J254" s="161">
        <f t="shared" si="125"/>
        <v>0</v>
      </c>
      <c r="K254" s="161">
        <f t="shared" si="125"/>
        <v>0</v>
      </c>
      <c r="L254" s="161">
        <f t="shared" si="125"/>
        <v>0</v>
      </c>
      <c r="M254" s="161">
        <f t="shared" si="125"/>
        <v>0</v>
      </c>
      <c r="N254" s="161">
        <f t="shared" si="125"/>
        <v>0</v>
      </c>
      <c r="O254" s="161">
        <f t="shared" si="125"/>
        <v>0</v>
      </c>
      <c r="P254" s="161">
        <f t="shared" si="125"/>
        <v>0</v>
      </c>
      <c r="Q254" s="161">
        <f t="shared" si="125"/>
        <v>0</v>
      </c>
      <c r="R254" s="161">
        <f t="shared" si="125"/>
        <v>0</v>
      </c>
      <c r="S254" s="161">
        <f t="shared" si="124"/>
        <v>0</v>
      </c>
      <c r="T254" s="161">
        <f t="shared" si="124"/>
        <v>0</v>
      </c>
      <c r="U254" s="161">
        <f t="shared" si="124"/>
        <v>0</v>
      </c>
      <c r="V254" s="161">
        <f t="shared" si="124"/>
        <v>0</v>
      </c>
      <c r="W254" s="161">
        <f t="shared" si="124"/>
        <v>0</v>
      </c>
      <c r="X254" s="161">
        <f t="shared" si="124"/>
        <v>0</v>
      </c>
      <c r="Y254" s="161">
        <f t="shared" si="124"/>
        <v>0</v>
      </c>
      <c r="Z254" s="161">
        <f t="shared" si="124"/>
        <v>0</v>
      </c>
      <c r="AA254" s="161">
        <f t="shared" si="124"/>
        <v>0</v>
      </c>
      <c r="AB254" s="161">
        <f t="shared" si="124"/>
        <v>0</v>
      </c>
      <c r="AC254" s="161">
        <f t="shared" si="124"/>
        <v>0</v>
      </c>
      <c r="AD254" s="161">
        <f t="shared" si="124"/>
        <v>0</v>
      </c>
      <c r="AE254" s="161">
        <f t="shared" si="124"/>
        <v>0</v>
      </c>
      <c r="AF254" s="174">
        <f t="shared" si="124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25"/>
        <v>0</v>
      </c>
      <c r="D255" s="161">
        <f t="shared" si="125"/>
        <v>0</v>
      </c>
      <c r="E255" s="161">
        <f t="shared" si="125"/>
        <v>0</v>
      </c>
      <c r="F255" s="161">
        <f t="shared" si="125"/>
        <v>0</v>
      </c>
      <c r="G255" s="161">
        <f t="shared" si="125"/>
        <v>0</v>
      </c>
      <c r="H255" s="161">
        <f t="shared" si="125"/>
        <v>0</v>
      </c>
      <c r="I255" s="161">
        <f t="shared" si="125"/>
        <v>0</v>
      </c>
      <c r="J255" s="161">
        <f t="shared" si="125"/>
        <v>0</v>
      </c>
      <c r="K255" s="161">
        <f t="shared" si="125"/>
        <v>0</v>
      </c>
      <c r="L255" s="161">
        <f t="shared" si="125"/>
        <v>0</v>
      </c>
      <c r="M255" s="161">
        <f t="shared" si="125"/>
        <v>0</v>
      </c>
      <c r="N255" s="161">
        <f t="shared" si="125"/>
        <v>0</v>
      </c>
      <c r="O255" s="161">
        <f t="shared" si="125"/>
        <v>0</v>
      </c>
      <c r="P255" s="161">
        <f t="shared" si="125"/>
        <v>0</v>
      </c>
      <c r="Q255" s="161">
        <f t="shared" si="125"/>
        <v>0</v>
      </c>
      <c r="R255" s="161">
        <f t="shared" si="125"/>
        <v>0</v>
      </c>
      <c r="S255" s="161">
        <f t="shared" si="124"/>
        <v>0</v>
      </c>
      <c r="T255" s="161">
        <f t="shared" si="124"/>
        <v>0</v>
      </c>
      <c r="U255" s="161">
        <f t="shared" si="124"/>
        <v>0</v>
      </c>
      <c r="V255" s="161">
        <f t="shared" si="124"/>
        <v>0</v>
      </c>
      <c r="W255" s="161">
        <f t="shared" si="124"/>
        <v>0</v>
      </c>
      <c r="X255" s="161">
        <f t="shared" si="124"/>
        <v>0</v>
      </c>
      <c r="Y255" s="161">
        <f t="shared" si="124"/>
        <v>0</v>
      </c>
      <c r="Z255" s="161">
        <f t="shared" si="124"/>
        <v>0</v>
      </c>
      <c r="AA255" s="161">
        <f t="shared" si="124"/>
        <v>0</v>
      </c>
      <c r="AB255" s="161">
        <f t="shared" si="124"/>
        <v>0</v>
      </c>
      <c r="AC255" s="161">
        <f t="shared" si="124"/>
        <v>0</v>
      </c>
      <c r="AD255" s="161">
        <f t="shared" si="124"/>
        <v>0</v>
      </c>
      <c r="AE255" s="161">
        <f t="shared" si="124"/>
        <v>0</v>
      </c>
      <c r="AF255" s="174">
        <f t="shared" si="124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25"/>
        <v>0</v>
      </c>
      <c r="D256" s="161">
        <f t="shared" si="125"/>
        <v>0</v>
      </c>
      <c r="E256" s="161">
        <f t="shared" si="125"/>
        <v>0</v>
      </c>
      <c r="F256" s="161">
        <f t="shared" si="125"/>
        <v>0</v>
      </c>
      <c r="G256" s="161">
        <f t="shared" si="125"/>
        <v>0</v>
      </c>
      <c r="H256" s="161">
        <f t="shared" si="125"/>
        <v>0</v>
      </c>
      <c r="I256" s="161">
        <f t="shared" si="125"/>
        <v>0</v>
      </c>
      <c r="J256" s="161">
        <f t="shared" si="125"/>
        <v>0</v>
      </c>
      <c r="K256" s="161">
        <f t="shared" si="125"/>
        <v>0</v>
      </c>
      <c r="L256" s="161">
        <f t="shared" si="125"/>
        <v>0</v>
      </c>
      <c r="M256" s="161">
        <f t="shared" si="125"/>
        <v>0</v>
      </c>
      <c r="N256" s="161">
        <f t="shared" si="125"/>
        <v>0</v>
      </c>
      <c r="O256" s="161">
        <f t="shared" si="125"/>
        <v>0</v>
      </c>
      <c r="P256" s="161">
        <f t="shared" si="125"/>
        <v>0</v>
      </c>
      <c r="Q256" s="161">
        <f t="shared" si="125"/>
        <v>0</v>
      </c>
      <c r="R256" s="161">
        <f t="shared" si="125"/>
        <v>0</v>
      </c>
      <c r="S256" s="161">
        <f t="shared" si="124"/>
        <v>0</v>
      </c>
      <c r="T256" s="161">
        <f t="shared" si="124"/>
        <v>0</v>
      </c>
      <c r="U256" s="161">
        <f t="shared" si="124"/>
        <v>0</v>
      </c>
      <c r="V256" s="161">
        <f t="shared" si="124"/>
        <v>0</v>
      </c>
      <c r="W256" s="161">
        <f t="shared" si="124"/>
        <v>0</v>
      </c>
      <c r="X256" s="161">
        <f t="shared" si="124"/>
        <v>0</v>
      </c>
      <c r="Y256" s="161">
        <f t="shared" si="124"/>
        <v>0</v>
      </c>
      <c r="Z256" s="161">
        <f t="shared" si="124"/>
        <v>0</v>
      </c>
      <c r="AA256" s="161">
        <f t="shared" si="124"/>
        <v>0</v>
      </c>
      <c r="AB256" s="161">
        <f t="shared" si="124"/>
        <v>0</v>
      </c>
      <c r="AC256" s="161">
        <f t="shared" si="124"/>
        <v>0</v>
      </c>
      <c r="AD256" s="161">
        <f t="shared" si="124"/>
        <v>0</v>
      </c>
      <c r="AE256" s="161">
        <f t="shared" si="124"/>
        <v>0</v>
      </c>
      <c r="AF256" s="174">
        <f t="shared" si="124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25"/>
        <v>0</v>
      </c>
      <c r="D257" s="161">
        <f t="shared" si="125"/>
        <v>0</v>
      </c>
      <c r="E257" s="161">
        <f t="shared" si="125"/>
        <v>0</v>
      </c>
      <c r="F257" s="161">
        <f t="shared" si="125"/>
        <v>0</v>
      </c>
      <c r="G257" s="161">
        <f t="shared" si="125"/>
        <v>0</v>
      </c>
      <c r="H257" s="161">
        <f t="shared" si="125"/>
        <v>0</v>
      </c>
      <c r="I257" s="161">
        <f t="shared" si="125"/>
        <v>0</v>
      </c>
      <c r="J257" s="161">
        <f t="shared" si="125"/>
        <v>0</v>
      </c>
      <c r="K257" s="161">
        <f t="shared" si="125"/>
        <v>0</v>
      </c>
      <c r="L257" s="161">
        <f t="shared" si="125"/>
        <v>0</v>
      </c>
      <c r="M257" s="161">
        <f t="shared" si="125"/>
        <v>0</v>
      </c>
      <c r="N257" s="161">
        <f t="shared" si="125"/>
        <v>0</v>
      </c>
      <c r="O257" s="161">
        <f t="shared" si="125"/>
        <v>0</v>
      </c>
      <c r="P257" s="161">
        <f t="shared" si="125"/>
        <v>0</v>
      </c>
      <c r="Q257" s="161">
        <f t="shared" si="125"/>
        <v>0</v>
      </c>
      <c r="R257" s="161">
        <f t="shared" si="125"/>
        <v>0</v>
      </c>
      <c r="S257" s="161">
        <f t="shared" si="124"/>
        <v>0</v>
      </c>
      <c r="T257" s="161">
        <f t="shared" si="124"/>
        <v>0</v>
      </c>
      <c r="U257" s="161">
        <f t="shared" si="124"/>
        <v>0</v>
      </c>
      <c r="V257" s="161">
        <f t="shared" si="124"/>
        <v>0</v>
      </c>
      <c r="W257" s="161">
        <f t="shared" si="124"/>
        <v>0</v>
      </c>
      <c r="X257" s="161">
        <f t="shared" si="124"/>
        <v>0</v>
      </c>
      <c r="Y257" s="161">
        <f t="shared" si="124"/>
        <v>0</v>
      </c>
      <c r="Z257" s="161">
        <f t="shared" si="124"/>
        <v>0</v>
      </c>
      <c r="AA257" s="161">
        <f t="shared" si="124"/>
        <v>0</v>
      </c>
      <c r="AB257" s="161">
        <f t="shared" si="124"/>
        <v>0</v>
      </c>
      <c r="AC257" s="161">
        <f t="shared" si="124"/>
        <v>0</v>
      </c>
      <c r="AD257" s="161">
        <f t="shared" si="124"/>
        <v>0</v>
      </c>
      <c r="AE257" s="161">
        <f t="shared" si="124"/>
        <v>0</v>
      </c>
      <c r="AF257" s="174">
        <f t="shared" si="124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25"/>
        <v>0</v>
      </c>
      <c r="D258" s="161">
        <f t="shared" si="125"/>
        <v>0</v>
      </c>
      <c r="E258" s="161">
        <f t="shared" si="125"/>
        <v>0</v>
      </c>
      <c r="F258" s="161">
        <f t="shared" si="125"/>
        <v>0</v>
      </c>
      <c r="G258" s="161">
        <f t="shared" si="125"/>
        <v>0</v>
      </c>
      <c r="H258" s="161">
        <f t="shared" si="125"/>
        <v>0</v>
      </c>
      <c r="I258" s="161">
        <f t="shared" si="125"/>
        <v>0</v>
      </c>
      <c r="J258" s="161">
        <f t="shared" si="125"/>
        <v>0</v>
      </c>
      <c r="K258" s="161">
        <f t="shared" si="125"/>
        <v>0</v>
      </c>
      <c r="L258" s="161">
        <f t="shared" si="125"/>
        <v>0</v>
      </c>
      <c r="M258" s="161">
        <f t="shared" si="125"/>
        <v>0</v>
      </c>
      <c r="N258" s="161">
        <f t="shared" si="125"/>
        <v>0</v>
      </c>
      <c r="O258" s="161">
        <f t="shared" si="125"/>
        <v>0</v>
      </c>
      <c r="P258" s="161">
        <f t="shared" si="125"/>
        <v>0</v>
      </c>
      <c r="Q258" s="161">
        <f t="shared" si="125"/>
        <v>0</v>
      </c>
      <c r="R258" s="161">
        <f t="shared" si="125"/>
        <v>0</v>
      </c>
      <c r="S258" s="161">
        <f t="shared" si="124"/>
        <v>0</v>
      </c>
      <c r="T258" s="161">
        <f t="shared" si="124"/>
        <v>0</v>
      </c>
      <c r="U258" s="161">
        <f t="shared" si="124"/>
        <v>0</v>
      </c>
      <c r="V258" s="161">
        <f t="shared" si="124"/>
        <v>0</v>
      </c>
      <c r="W258" s="161">
        <f t="shared" si="124"/>
        <v>0</v>
      </c>
      <c r="X258" s="161">
        <f t="shared" si="124"/>
        <v>0</v>
      </c>
      <c r="Y258" s="161">
        <f t="shared" si="124"/>
        <v>0</v>
      </c>
      <c r="Z258" s="161">
        <f t="shared" si="124"/>
        <v>0</v>
      </c>
      <c r="AA258" s="161">
        <f t="shared" si="124"/>
        <v>0</v>
      </c>
      <c r="AB258" s="161">
        <f t="shared" si="124"/>
        <v>0</v>
      </c>
      <c r="AC258" s="161">
        <f t="shared" si="124"/>
        <v>0</v>
      </c>
      <c r="AD258" s="161">
        <f t="shared" si="124"/>
        <v>0</v>
      </c>
      <c r="AE258" s="161">
        <f t="shared" si="124"/>
        <v>0</v>
      </c>
      <c r="AF258" s="174">
        <f t="shared" si="124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25"/>
        <v>0</v>
      </c>
      <c r="D259" s="161">
        <f t="shared" si="125"/>
        <v>0</v>
      </c>
      <c r="E259" s="161">
        <f t="shared" si="125"/>
        <v>0</v>
      </c>
      <c r="F259" s="161">
        <f t="shared" si="125"/>
        <v>0</v>
      </c>
      <c r="G259" s="161">
        <f t="shared" si="125"/>
        <v>0</v>
      </c>
      <c r="H259" s="161">
        <f t="shared" si="125"/>
        <v>0</v>
      </c>
      <c r="I259" s="161">
        <f t="shared" si="125"/>
        <v>0</v>
      </c>
      <c r="J259" s="161">
        <f t="shared" si="125"/>
        <v>0</v>
      </c>
      <c r="K259" s="161">
        <f t="shared" si="125"/>
        <v>0</v>
      </c>
      <c r="L259" s="161">
        <f t="shared" si="125"/>
        <v>0</v>
      </c>
      <c r="M259" s="161">
        <f t="shared" si="125"/>
        <v>0</v>
      </c>
      <c r="N259" s="161">
        <f t="shared" si="125"/>
        <v>0</v>
      </c>
      <c r="O259" s="161">
        <f t="shared" si="125"/>
        <v>0</v>
      </c>
      <c r="P259" s="161">
        <f t="shared" si="125"/>
        <v>0</v>
      </c>
      <c r="Q259" s="161">
        <f t="shared" si="125"/>
        <v>0</v>
      </c>
      <c r="R259" s="161">
        <f t="shared" si="125"/>
        <v>0</v>
      </c>
      <c r="S259" s="161">
        <f t="shared" si="124"/>
        <v>0</v>
      </c>
      <c r="T259" s="161">
        <f t="shared" si="124"/>
        <v>0</v>
      </c>
      <c r="U259" s="161">
        <f t="shared" si="124"/>
        <v>0</v>
      </c>
      <c r="V259" s="161">
        <f t="shared" si="124"/>
        <v>0</v>
      </c>
      <c r="W259" s="161">
        <f t="shared" si="124"/>
        <v>0</v>
      </c>
      <c r="X259" s="161">
        <f t="shared" si="124"/>
        <v>0</v>
      </c>
      <c r="Y259" s="161">
        <f t="shared" si="124"/>
        <v>0</v>
      </c>
      <c r="Z259" s="161">
        <f t="shared" si="124"/>
        <v>0</v>
      </c>
      <c r="AA259" s="161">
        <f t="shared" si="124"/>
        <v>0</v>
      </c>
      <c r="AB259" s="161">
        <f t="shared" si="124"/>
        <v>0</v>
      </c>
      <c r="AC259" s="161">
        <f t="shared" si="124"/>
        <v>0</v>
      </c>
      <c r="AD259" s="161">
        <f t="shared" si="124"/>
        <v>0</v>
      </c>
      <c r="AE259" s="161">
        <f t="shared" si="124"/>
        <v>0</v>
      </c>
      <c r="AF259" s="174">
        <f t="shared" si="124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25"/>
        <v>0</v>
      </c>
      <c r="D260" s="161">
        <f t="shared" si="125"/>
        <v>0</v>
      </c>
      <c r="E260" s="161">
        <f t="shared" si="125"/>
        <v>0</v>
      </c>
      <c r="F260" s="161">
        <f t="shared" si="125"/>
        <v>0</v>
      </c>
      <c r="G260" s="161">
        <f t="shared" si="125"/>
        <v>0</v>
      </c>
      <c r="H260" s="161">
        <f t="shared" si="125"/>
        <v>0</v>
      </c>
      <c r="I260" s="161">
        <f t="shared" si="125"/>
        <v>0</v>
      </c>
      <c r="J260" s="161">
        <f t="shared" si="125"/>
        <v>0</v>
      </c>
      <c r="K260" s="161">
        <f t="shared" si="125"/>
        <v>0</v>
      </c>
      <c r="L260" s="161">
        <f t="shared" si="125"/>
        <v>0</v>
      </c>
      <c r="M260" s="161">
        <f t="shared" si="125"/>
        <v>0</v>
      </c>
      <c r="N260" s="161">
        <f t="shared" si="125"/>
        <v>0</v>
      </c>
      <c r="O260" s="161">
        <f t="shared" si="125"/>
        <v>0</v>
      </c>
      <c r="P260" s="161">
        <f t="shared" si="125"/>
        <v>0</v>
      </c>
      <c r="Q260" s="161">
        <f t="shared" si="125"/>
        <v>0</v>
      </c>
      <c r="R260" s="161">
        <f t="shared" si="125"/>
        <v>0</v>
      </c>
      <c r="S260" s="161">
        <f t="shared" si="124"/>
        <v>0</v>
      </c>
      <c r="T260" s="161">
        <f t="shared" si="124"/>
        <v>0</v>
      </c>
      <c r="U260" s="161">
        <f t="shared" si="124"/>
        <v>0</v>
      </c>
      <c r="V260" s="161">
        <f t="shared" si="124"/>
        <v>0</v>
      </c>
      <c r="W260" s="161">
        <f t="shared" si="124"/>
        <v>0</v>
      </c>
      <c r="X260" s="161">
        <f t="shared" si="124"/>
        <v>0</v>
      </c>
      <c r="Y260" s="161">
        <f t="shared" si="124"/>
        <v>0</v>
      </c>
      <c r="Z260" s="161">
        <f t="shared" si="124"/>
        <v>0</v>
      </c>
      <c r="AA260" s="161">
        <f t="shared" si="124"/>
        <v>0</v>
      </c>
      <c r="AB260" s="161">
        <f t="shared" si="124"/>
        <v>0</v>
      </c>
      <c r="AC260" s="161">
        <f t="shared" si="124"/>
        <v>0</v>
      </c>
      <c r="AD260" s="161">
        <f t="shared" si="124"/>
        <v>0</v>
      </c>
      <c r="AE260" s="161">
        <f t="shared" si="124"/>
        <v>0</v>
      </c>
      <c r="AF260" s="174">
        <f t="shared" si="124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25"/>
        <v>0</v>
      </c>
      <c r="D261" s="161">
        <f t="shared" si="125"/>
        <v>0</v>
      </c>
      <c r="E261" s="161">
        <f t="shared" si="125"/>
        <v>0</v>
      </c>
      <c r="F261" s="161">
        <f t="shared" si="125"/>
        <v>0</v>
      </c>
      <c r="G261" s="161">
        <f t="shared" si="125"/>
        <v>0</v>
      </c>
      <c r="H261" s="161">
        <f t="shared" si="125"/>
        <v>0</v>
      </c>
      <c r="I261" s="161">
        <f t="shared" si="125"/>
        <v>0</v>
      </c>
      <c r="J261" s="161">
        <f t="shared" si="125"/>
        <v>0</v>
      </c>
      <c r="K261" s="161">
        <f t="shared" si="125"/>
        <v>0</v>
      </c>
      <c r="L261" s="161">
        <f t="shared" si="125"/>
        <v>0</v>
      </c>
      <c r="M261" s="161">
        <f t="shared" si="125"/>
        <v>0</v>
      </c>
      <c r="N261" s="161">
        <f t="shared" si="125"/>
        <v>0</v>
      </c>
      <c r="O261" s="161">
        <f t="shared" si="125"/>
        <v>0</v>
      </c>
      <c r="P261" s="161">
        <f t="shared" si="125"/>
        <v>0</v>
      </c>
      <c r="Q261" s="161">
        <f t="shared" si="125"/>
        <v>0</v>
      </c>
      <c r="R261" s="161">
        <f t="shared" si="125"/>
        <v>0</v>
      </c>
      <c r="S261" s="161">
        <f t="shared" si="124"/>
        <v>0</v>
      </c>
      <c r="T261" s="161">
        <f t="shared" si="124"/>
        <v>0</v>
      </c>
      <c r="U261" s="161">
        <f t="shared" si="124"/>
        <v>0</v>
      </c>
      <c r="V261" s="161">
        <f t="shared" si="124"/>
        <v>0</v>
      </c>
      <c r="W261" s="161">
        <f t="shared" si="124"/>
        <v>0</v>
      </c>
      <c r="X261" s="161">
        <f t="shared" si="124"/>
        <v>0</v>
      </c>
      <c r="Y261" s="161">
        <f t="shared" si="124"/>
        <v>0</v>
      </c>
      <c r="Z261" s="161">
        <f t="shared" si="124"/>
        <v>0</v>
      </c>
      <c r="AA261" s="161">
        <f t="shared" si="124"/>
        <v>0</v>
      </c>
      <c r="AB261" s="161">
        <f t="shared" si="124"/>
        <v>0</v>
      </c>
      <c r="AC261" s="161">
        <f t="shared" si="124"/>
        <v>0</v>
      </c>
      <c r="AD261" s="161">
        <f t="shared" si="124"/>
        <v>0</v>
      </c>
      <c r="AE261" s="161">
        <f t="shared" si="124"/>
        <v>0</v>
      </c>
      <c r="AF261" s="174">
        <f t="shared" si="124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25"/>
        <v>0</v>
      </c>
      <c r="D262" s="161">
        <f t="shared" si="125"/>
        <v>0</v>
      </c>
      <c r="E262" s="161">
        <f t="shared" si="125"/>
        <v>0</v>
      </c>
      <c r="F262" s="161">
        <f t="shared" si="125"/>
        <v>0</v>
      </c>
      <c r="G262" s="161">
        <f t="shared" si="125"/>
        <v>0</v>
      </c>
      <c r="H262" s="161">
        <f t="shared" si="125"/>
        <v>0</v>
      </c>
      <c r="I262" s="161">
        <f t="shared" si="125"/>
        <v>0</v>
      </c>
      <c r="J262" s="161">
        <f t="shared" si="125"/>
        <v>0</v>
      </c>
      <c r="K262" s="161">
        <f t="shared" si="125"/>
        <v>0</v>
      </c>
      <c r="L262" s="161">
        <f t="shared" si="125"/>
        <v>0</v>
      </c>
      <c r="M262" s="161">
        <f t="shared" si="125"/>
        <v>0</v>
      </c>
      <c r="N262" s="161">
        <f t="shared" si="125"/>
        <v>0</v>
      </c>
      <c r="O262" s="161">
        <f t="shared" si="125"/>
        <v>0</v>
      </c>
      <c r="P262" s="161">
        <f t="shared" si="125"/>
        <v>0</v>
      </c>
      <c r="Q262" s="161">
        <f t="shared" si="125"/>
        <v>0</v>
      </c>
      <c r="R262" s="161">
        <f t="shared" si="125"/>
        <v>0</v>
      </c>
      <c r="S262" s="161">
        <f t="shared" si="124"/>
        <v>0</v>
      </c>
      <c r="T262" s="161">
        <f t="shared" si="124"/>
        <v>0</v>
      </c>
      <c r="U262" s="161">
        <f t="shared" si="124"/>
        <v>0</v>
      </c>
      <c r="V262" s="161">
        <f t="shared" si="124"/>
        <v>0</v>
      </c>
      <c r="W262" s="161">
        <f t="shared" si="124"/>
        <v>0</v>
      </c>
      <c r="X262" s="161">
        <f t="shared" si="124"/>
        <v>0</v>
      </c>
      <c r="Y262" s="161">
        <f t="shared" si="124"/>
        <v>0</v>
      </c>
      <c r="Z262" s="161">
        <f t="shared" si="124"/>
        <v>0</v>
      </c>
      <c r="AA262" s="161">
        <f t="shared" si="124"/>
        <v>0</v>
      </c>
      <c r="AB262" s="161">
        <f t="shared" si="124"/>
        <v>0</v>
      </c>
      <c r="AC262" s="161">
        <f t="shared" si="124"/>
        <v>0</v>
      </c>
      <c r="AD262" s="161">
        <f t="shared" si="124"/>
        <v>0</v>
      </c>
      <c r="AE262" s="161">
        <f t="shared" si="124"/>
        <v>0</v>
      </c>
      <c r="AF262" s="174">
        <f t="shared" si="124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25"/>
        <v>0</v>
      </c>
      <c r="D263" s="161">
        <f t="shared" si="125"/>
        <v>0</v>
      </c>
      <c r="E263" s="161">
        <f t="shared" si="125"/>
        <v>0</v>
      </c>
      <c r="F263" s="161">
        <f t="shared" si="125"/>
        <v>0</v>
      </c>
      <c r="G263" s="161">
        <f t="shared" si="125"/>
        <v>0</v>
      </c>
      <c r="H263" s="161">
        <f t="shared" si="125"/>
        <v>0</v>
      </c>
      <c r="I263" s="161">
        <f t="shared" si="125"/>
        <v>0</v>
      </c>
      <c r="J263" s="161">
        <f t="shared" si="125"/>
        <v>0</v>
      </c>
      <c r="K263" s="161">
        <f t="shared" si="125"/>
        <v>0</v>
      </c>
      <c r="L263" s="161">
        <f t="shared" si="125"/>
        <v>0</v>
      </c>
      <c r="M263" s="161">
        <f t="shared" si="125"/>
        <v>0</v>
      </c>
      <c r="N263" s="161">
        <f t="shared" si="125"/>
        <v>0</v>
      </c>
      <c r="O263" s="161">
        <f t="shared" si="125"/>
        <v>0</v>
      </c>
      <c r="P263" s="161">
        <f t="shared" si="125"/>
        <v>0</v>
      </c>
      <c r="Q263" s="161">
        <f t="shared" si="125"/>
        <v>0</v>
      </c>
      <c r="R263" s="161">
        <f t="shared" si="125"/>
        <v>0</v>
      </c>
      <c r="S263" s="161">
        <f t="shared" si="124"/>
        <v>0</v>
      </c>
      <c r="T263" s="161">
        <f t="shared" si="124"/>
        <v>0</v>
      </c>
      <c r="U263" s="161">
        <f t="shared" si="124"/>
        <v>0</v>
      </c>
      <c r="V263" s="161">
        <f t="shared" si="124"/>
        <v>0</v>
      </c>
      <c r="W263" s="161">
        <f t="shared" si="124"/>
        <v>0</v>
      </c>
      <c r="X263" s="161">
        <f t="shared" si="124"/>
        <v>0</v>
      </c>
      <c r="Y263" s="161">
        <f t="shared" si="124"/>
        <v>0</v>
      </c>
      <c r="Z263" s="161">
        <f t="shared" si="124"/>
        <v>0</v>
      </c>
      <c r="AA263" s="161">
        <f t="shared" si="124"/>
        <v>0</v>
      </c>
      <c r="AB263" s="161">
        <f t="shared" si="124"/>
        <v>0</v>
      </c>
      <c r="AC263" s="161">
        <f t="shared" si="124"/>
        <v>0</v>
      </c>
      <c r="AD263" s="161">
        <f t="shared" si="124"/>
        <v>0</v>
      </c>
      <c r="AE263" s="161">
        <f t="shared" si="124"/>
        <v>0</v>
      </c>
      <c r="AF263" s="174">
        <f t="shared" si="124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25"/>
        <v>0</v>
      </c>
      <c r="D264" s="161">
        <f t="shared" si="125"/>
        <v>0</v>
      </c>
      <c r="E264" s="161">
        <f t="shared" si="125"/>
        <v>0</v>
      </c>
      <c r="F264" s="161">
        <f t="shared" si="125"/>
        <v>0</v>
      </c>
      <c r="G264" s="161">
        <f t="shared" si="125"/>
        <v>0</v>
      </c>
      <c r="H264" s="161">
        <f t="shared" si="125"/>
        <v>0</v>
      </c>
      <c r="I264" s="161">
        <f t="shared" si="125"/>
        <v>0</v>
      </c>
      <c r="J264" s="161">
        <f t="shared" si="125"/>
        <v>0</v>
      </c>
      <c r="K264" s="161">
        <f t="shared" si="125"/>
        <v>0</v>
      </c>
      <c r="L264" s="161">
        <f t="shared" si="125"/>
        <v>0</v>
      </c>
      <c r="M264" s="161">
        <f t="shared" si="125"/>
        <v>0</v>
      </c>
      <c r="N264" s="161">
        <f t="shared" si="125"/>
        <v>0</v>
      </c>
      <c r="O264" s="161">
        <f t="shared" si="125"/>
        <v>0</v>
      </c>
      <c r="P264" s="161">
        <f t="shared" si="125"/>
        <v>0</v>
      </c>
      <c r="Q264" s="161">
        <f t="shared" si="125"/>
        <v>0</v>
      </c>
      <c r="R264" s="161">
        <f t="shared" si="125"/>
        <v>0</v>
      </c>
      <c r="S264" s="161">
        <f t="shared" ref="S264:AF273" si="126">R264</f>
        <v>0</v>
      </c>
      <c r="T264" s="161">
        <f t="shared" si="126"/>
        <v>0</v>
      </c>
      <c r="U264" s="161">
        <f t="shared" si="126"/>
        <v>0</v>
      </c>
      <c r="V264" s="161">
        <f t="shared" si="126"/>
        <v>0</v>
      </c>
      <c r="W264" s="161">
        <f t="shared" si="126"/>
        <v>0</v>
      </c>
      <c r="X264" s="161">
        <f t="shared" si="126"/>
        <v>0</v>
      </c>
      <c r="Y264" s="161">
        <f t="shared" si="126"/>
        <v>0</v>
      </c>
      <c r="Z264" s="161">
        <f t="shared" si="126"/>
        <v>0</v>
      </c>
      <c r="AA264" s="161">
        <f t="shared" si="126"/>
        <v>0</v>
      </c>
      <c r="AB264" s="161">
        <f t="shared" si="126"/>
        <v>0</v>
      </c>
      <c r="AC264" s="161">
        <f t="shared" si="126"/>
        <v>0</v>
      </c>
      <c r="AD264" s="161">
        <f t="shared" si="126"/>
        <v>0</v>
      </c>
      <c r="AE264" s="161">
        <f t="shared" si="126"/>
        <v>0</v>
      </c>
      <c r="AF264" s="174">
        <f t="shared" si="12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27">B265</f>
        <v>0</v>
      </c>
      <c r="D265" s="161">
        <f t="shared" si="127"/>
        <v>0</v>
      </c>
      <c r="E265" s="161">
        <f t="shared" si="127"/>
        <v>0</v>
      </c>
      <c r="F265" s="161">
        <f t="shared" si="127"/>
        <v>0</v>
      </c>
      <c r="G265" s="161">
        <f t="shared" si="127"/>
        <v>0</v>
      </c>
      <c r="H265" s="161">
        <f t="shared" si="127"/>
        <v>0</v>
      </c>
      <c r="I265" s="161">
        <f t="shared" si="127"/>
        <v>0</v>
      </c>
      <c r="J265" s="161">
        <f t="shared" si="127"/>
        <v>0</v>
      </c>
      <c r="K265" s="161">
        <f t="shared" si="127"/>
        <v>0</v>
      </c>
      <c r="L265" s="161">
        <f t="shared" si="127"/>
        <v>0</v>
      </c>
      <c r="M265" s="161">
        <f t="shared" si="127"/>
        <v>0</v>
      </c>
      <c r="N265" s="161">
        <f t="shared" si="127"/>
        <v>0</v>
      </c>
      <c r="O265" s="161">
        <f t="shared" si="127"/>
        <v>0</v>
      </c>
      <c r="P265" s="161">
        <f t="shared" si="127"/>
        <v>0</v>
      </c>
      <c r="Q265" s="161">
        <f t="shared" si="127"/>
        <v>0</v>
      </c>
      <c r="R265" s="161">
        <f t="shared" si="127"/>
        <v>0</v>
      </c>
      <c r="S265" s="161">
        <f t="shared" si="126"/>
        <v>0</v>
      </c>
      <c r="T265" s="161">
        <f t="shared" si="126"/>
        <v>0</v>
      </c>
      <c r="U265" s="161">
        <f t="shared" si="126"/>
        <v>0</v>
      </c>
      <c r="V265" s="161">
        <f t="shared" si="126"/>
        <v>0</v>
      </c>
      <c r="W265" s="161">
        <f t="shared" si="126"/>
        <v>0</v>
      </c>
      <c r="X265" s="161">
        <f t="shared" si="126"/>
        <v>0</v>
      </c>
      <c r="Y265" s="161">
        <f t="shared" si="126"/>
        <v>0</v>
      </c>
      <c r="Z265" s="161">
        <f t="shared" si="126"/>
        <v>0</v>
      </c>
      <c r="AA265" s="161">
        <f t="shared" si="126"/>
        <v>0</v>
      </c>
      <c r="AB265" s="161">
        <f t="shared" si="126"/>
        <v>0</v>
      </c>
      <c r="AC265" s="161">
        <f t="shared" si="126"/>
        <v>0</v>
      </c>
      <c r="AD265" s="161">
        <f t="shared" si="126"/>
        <v>0</v>
      </c>
      <c r="AE265" s="161">
        <f t="shared" si="126"/>
        <v>0</v>
      </c>
      <c r="AF265" s="174">
        <f t="shared" si="12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27"/>
        <v>0</v>
      </c>
      <c r="D266" s="161">
        <f t="shared" si="127"/>
        <v>0</v>
      </c>
      <c r="E266" s="161">
        <f t="shared" si="127"/>
        <v>0</v>
      </c>
      <c r="F266" s="161">
        <f t="shared" si="127"/>
        <v>0</v>
      </c>
      <c r="G266" s="161">
        <f t="shared" si="127"/>
        <v>0</v>
      </c>
      <c r="H266" s="161">
        <f t="shared" si="127"/>
        <v>0</v>
      </c>
      <c r="I266" s="161">
        <f t="shared" si="127"/>
        <v>0</v>
      </c>
      <c r="J266" s="161">
        <f t="shared" si="127"/>
        <v>0</v>
      </c>
      <c r="K266" s="161">
        <f t="shared" si="127"/>
        <v>0</v>
      </c>
      <c r="L266" s="161">
        <f t="shared" si="127"/>
        <v>0</v>
      </c>
      <c r="M266" s="161">
        <f t="shared" si="127"/>
        <v>0</v>
      </c>
      <c r="N266" s="161">
        <f t="shared" si="127"/>
        <v>0</v>
      </c>
      <c r="O266" s="161">
        <f t="shared" si="127"/>
        <v>0</v>
      </c>
      <c r="P266" s="161">
        <f t="shared" si="127"/>
        <v>0</v>
      </c>
      <c r="Q266" s="161">
        <f t="shared" si="127"/>
        <v>0</v>
      </c>
      <c r="R266" s="161">
        <f t="shared" si="127"/>
        <v>0</v>
      </c>
      <c r="S266" s="161">
        <f t="shared" si="126"/>
        <v>0</v>
      </c>
      <c r="T266" s="161">
        <f t="shared" si="126"/>
        <v>0</v>
      </c>
      <c r="U266" s="161">
        <f t="shared" si="126"/>
        <v>0</v>
      </c>
      <c r="V266" s="161">
        <f t="shared" si="126"/>
        <v>0</v>
      </c>
      <c r="W266" s="161">
        <f t="shared" si="126"/>
        <v>0</v>
      </c>
      <c r="X266" s="161">
        <f t="shared" si="126"/>
        <v>0</v>
      </c>
      <c r="Y266" s="161">
        <f t="shared" si="126"/>
        <v>0</v>
      </c>
      <c r="Z266" s="161">
        <f t="shared" si="126"/>
        <v>0</v>
      </c>
      <c r="AA266" s="161">
        <f t="shared" si="126"/>
        <v>0</v>
      </c>
      <c r="AB266" s="161">
        <f t="shared" si="126"/>
        <v>0</v>
      </c>
      <c r="AC266" s="161">
        <f t="shared" si="126"/>
        <v>0</v>
      </c>
      <c r="AD266" s="161">
        <f t="shared" si="126"/>
        <v>0</v>
      </c>
      <c r="AE266" s="161">
        <f t="shared" si="126"/>
        <v>0</v>
      </c>
      <c r="AF266" s="174">
        <f t="shared" si="12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27"/>
        <v>0</v>
      </c>
      <c r="D267" s="161">
        <f t="shared" si="127"/>
        <v>0</v>
      </c>
      <c r="E267" s="161">
        <f t="shared" si="127"/>
        <v>0</v>
      </c>
      <c r="F267" s="161">
        <f t="shared" si="127"/>
        <v>0</v>
      </c>
      <c r="G267" s="161">
        <f t="shared" si="127"/>
        <v>0</v>
      </c>
      <c r="H267" s="161">
        <f t="shared" si="127"/>
        <v>0</v>
      </c>
      <c r="I267" s="161">
        <f t="shared" si="127"/>
        <v>0</v>
      </c>
      <c r="J267" s="161">
        <f t="shared" si="127"/>
        <v>0</v>
      </c>
      <c r="K267" s="161">
        <f t="shared" si="127"/>
        <v>0</v>
      </c>
      <c r="L267" s="161">
        <f t="shared" si="127"/>
        <v>0</v>
      </c>
      <c r="M267" s="161">
        <f t="shared" si="127"/>
        <v>0</v>
      </c>
      <c r="N267" s="161">
        <f t="shared" si="127"/>
        <v>0</v>
      </c>
      <c r="O267" s="161">
        <f t="shared" si="127"/>
        <v>0</v>
      </c>
      <c r="P267" s="161">
        <f t="shared" si="127"/>
        <v>0</v>
      </c>
      <c r="Q267" s="161">
        <f t="shared" si="127"/>
        <v>0</v>
      </c>
      <c r="R267" s="161">
        <f t="shared" si="127"/>
        <v>0</v>
      </c>
      <c r="S267" s="161">
        <f t="shared" si="126"/>
        <v>0</v>
      </c>
      <c r="T267" s="161">
        <f t="shared" si="126"/>
        <v>0</v>
      </c>
      <c r="U267" s="161">
        <f t="shared" si="126"/>
        <v>0</v>
      </c>
      <c r="V267" s="161">
        <f t="shared" si="126"/>
        <v>0</v>
      </c>
      <c r="W267" s="161">
        <f t="shared" si="126"/>
        <v>0</v>
      </c>
      <c r="X267" s="161">
        <f t="shared" si="126"/>
        <v>0</v>
      </c>
      <c r="Y267" s="161">
        <f t="shared" si="126"/>
        <v>0</v>
      </c>
      <c r="Z267" s="161">
        <f t="shared" si="126"/>
        <v>0</v>
      </c>
      <c r="AA267" s="161">
        <f t="shared" si="126"/>
        <v>0</v>
      </c>
      <c r="AB267" s="161">
        <f t="shared" si="126"/>
        <v>0</v>
      </c>
      <c r="AC267" s="161">
        <f t="shared" si="126"/>
        <v>0</v>
      </c>
      <c r="AD267" s="161">
        <f t="shared" si="126"/>
        <v>0</v>
      </c>
      <c r="AE267" s="161">
        <f t="shared" si="126"/>
        <v>0</v>
      </c>
      <c r="AF267" s="174">
        <f t="shared" si="12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27"/>
        <v>0</v>
      </c>
      <c r="D268" s="161">
        <f t="shared" si="127"/>
        <v>0</v>
      </c>
      <c r="E268" s="161">
        <f t="shared" si="127"/>
        <v>0</v>
      </c>
      <c r="F268" s="161">
        <f t="shared" si="127"/>
        <v>0</v>
      </c>
      <c r="G268" s="161">
        <f t="shared" si="127"/>
        <v>0</v>
      </c>
      <c r="H268" s="161">
        <f t="shared" si="127"/>
        <v>0</v>
      </c>
      <c r="I268" s="161">
        <f t="shared" si="127"/>
        <v>0</v>
      </c>
      <c r="J268" s="161">
        <f t="shared" si="127"/>
        <v>0</v>
      </c>
      <c r="K268" s="161">
        <f t="shared" si="127"/>
        <v>0</v>
      </c>
      <c r="L268" s="161">
        <f t="shared" si="127"/>
        <v>0</v>
      </c>
      <c r="M268" s="161">
        <f t="shared" si="127"/>
        <v>0</v>
      </c>
      <c r="N268" s="161">
        <f t="shared" si="127"/>
        <v>0</v>
      </c>
      <c r="O268" s="161">
        <f t="shared" si="127"/>
        <v>0</v>
      </c>
      <c r="P268" s="161">
        <f t="shared" si="127"/>
        <v>0</v>
      </c>
      <c r="Q268" s="161">
        <f t="shared" si="127"/>
        <v>0</v>
      </c>
      <c r="R268" s="161">
        <f t="shared" si="127"/>
        <v>0</v>
      </c>
      <c r="S268" s="161">
        <f t="shared" si="126"/>
        <v>0</v>
      </c>
      <c r="T268" s="161">
        <f t="shared" si="126"/>
        <v>0</v>
      </c>
      <c r="U268" s="161">
        <f t="shared" si="126"/>
        <v>0</v>
      </c>
      <c r="V268" s="161">
        <f t="shared" si="126"/>
        <v>0</v>
      </c>
      <c r="W268" s="161">
        <f t="shared" si="126"/>
        <v>0</v>
      </c>
      <c r="X268" s="161">
        <f t="shared" si="126"/>
        <v>0</v>
      </c>
      <c r="Y268" s="161">
        <f t="shared" si="126"/>
        <v>0</v>
      </c>
      <c r="Z268" s="161">
        <f t="shared" si="126"/>
        <v>0</v>
      </c>
      <c r="AA268" s="161">
        <f t="shared" si="126"/>
        <v>0</v>
      </c>
      <c r="AB268" s="161">
        <f t="shared" si="126"/>
        <v>0</v>
      </c>
      <c r="AC268" s="161">
        <f t="shared" si="126"/>
        <v>0</v>
      </c>
      <c r="AD268" s="161">
        <f t="shared" si="126"/>
        <v>0</v>
      </c>
      <c r="AE268" s="161">
        <f t="shared" si="126"/>
        <v>0</v>
      </c>
      <c r="AF268" s="174">
        <f t="shared" si="12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27"/>
        <v>0</v>
      </c>
      <c r="D269" s="161">
        <f t="shared" si="127"/>
        <v>0</v>
      </c>
      <c r="E269" s="161">
        <f t="shared" si="127"/>
        <v>0</v>
      </c>
      <c r="F269" s="161">
        <f t="shared" si="127"/>
        <v>0</v>
      </c>
      <c r="G269" s="161">
        <f t="shared" si="127"/>
        <v>0</v>
      </c>
      <c r="H269" s="161">
        <f t="shared" si="127"/>
        <v>0</v>
      </c>
      <c r="I269" s="161">
        <f t="shared" si="127"/>
        <v>0</v>
      </c>
      <c r="J269" s="161">
        <f t="shared" si="127"/>
        <v>0</v>
      </c>
      <c r="K269" s="161">
        <f t="shared" si="127"/>
        <v>0</v>
      </c>
      <c r="L269" s="161">
        <f t="shared" si="127"/>
        <v>0</v>
      </c>
      <c r="M269" s="161">
        <f t="shared" si="127"/>
        <v>0</v>
      </c>
      <c r="N269" s="161">
        <f t="shared" si="127"/>
        <v>0</v>
      </c>
      <c r="O269" s="161">
        <f t="shared" si="127"/>
        <v>0</v>
      </c>
      <c r="P269" s="161">
        <f t="shared" si="127"/>
        <v>0</v>
      </c>
      <c r="Q269" s="161">
        <f t="shared" si="127"/>
        <v>0</v>
      </c>
      <c r="R269" s="161">
        <f t="shared" si="127"/>
        <v>0</v>
      </c>
      <c r="S269" s="161">
        <f t="shared" si="126"/>
        <v>0</v>
      </c>
      <c r="T269" s="161">
        <f t="shared" si="126"/>
        <v>0</v>
      </c>
      <c r="U269" s="161">
        <f t="shared" si="126"/>
        <v>0</v>
      </c>
      <c r="V269" s="161">
        <f t="shared" si="126"/>
        <v>0</v>
      </c>
      <c r="W269" s="161">
        <f t="shared" si="126"/>
        <v>0</v>
      </c>
      <c r="X269" s="161">
        <f t="shared" si="126"/>
        <v>0</v>
      </c>
      <c r="Y269" s="161">
        <f t="shared" si="126"/>
        <v>0</v>
      </c>
      <c r="Z269" s="161">
        <f t="shared" si="126"/>
        <v>0</v>
      </c>
      <c r="AA269" s="161">
        <f t="shared" si="126"/>
        <v>0</v>
      </c>
      <c r="AB269" s="161">
        <f t="shared" si="126"/>
        <v>0</v>
      </c>
      <c r="AC269" s="161">
        <f t="shared" si="126"/>
        <v>0</v>
      </c>
      <c r="AD269" s="161">
        <f t="shared" si="126"/>
        <v>0</v>
      </c>
      <c r="AE269" s="161">
        <f t="shared" si="126"/>
        <v>0</v>
      </c>
      <c r="AF269" s="174">
        <f t="shared" si="12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27"/>
        <v>0</v>
      </c>
      <c r="D270" s="161">
        <f t="shared" si="127"/>
        <v>0</v>
      </c>
      <c r="E270" s="161">
        <f t="shared" si="127"/>
        <v>0</v>
      </c>
      <c r="F270" s="161">
        <f t="shared" si="127"/>
        <v>0</v>
      </c>
      <c r="G270" s="161">
        <f t="shared" si="127"/>
        <v>0</v>
      </c>
      <c r="H270" s="161">
        <f t="shared" si="127"/>
        <v>0</v>
      </c>
      <c r="I270" s="161">
        <f t="shared" si="127"/>
        <v>0</v>
      </c>
      <c r="J270" s="161">
        <f t="shared" si="127"/>
        <v>0</v>
      </c>
      <c r="K270" s="161">
        <f t="shared" si="127"/>
        <v>0</v>
      </c>
      <c r="L270" s="161">
        <f t="shared" si="127"/>
        <v>0</v>
      </c>
      <c r="M270" s="161">
        <f t="shared" si="127"/>
        <v>0</v>
      </c>
      <c r="N270" s="161">
        <f t="shared" si="127"/>
        <v>0</v>
      </c>
      <c r="O270" s="161">
        <f t="shared" si="127"/>
        <v>0</v>
      </c>
      <c r="P270" s="161">
        <f t="shared" si="127"/>
        <v>0</v>
      </c>
      <c r="Q270" s="161">
        <f t="shared" si="127"/>
        <v>0</v>
      </c>
      <c r="R270" s="161">
        <f t="shared" si="127"/>
        <v>0</v>
      </c>
      <c r="S270" s="161">
        <f t="shared" si="126"/>
        <v>0</v>
      </c>
      <c r="T270" s="161">
        <f t="shared" si="126"/>
        <v>0</v>
      </c>
      <c r="U270" s="161">
        <f t="shared" si="126"/>
        <v>0</v>
      </c>
      <c r="V270" s="161">
        <f t="shared" si="126"/>
        <v>0</v>
      </c>
      <c r="W270" s="161">
        <f t="shared" si="126"/>
        <v>0</v>
      </c>
      <c r="X270" s="161">
        <f t="shared" si="126"/>
        <v>0</v>
      </c>
      <c r="Y270" s="161">
        <f t="shared" si="126"/>
        <v>0</v>
      </c>
      <c r="Z270" s="161">
        <f t="shared" si="126"/>
        <v>0</v>
      </c>
      <c r="AA270" s="161">
        <f t="shared" si="126"/>
        <v>0</v>
      </c>
      <c r="AB270" s="161">
        <f t="shared" si="126"/>
        <v>0</v>
      </c>
      <c r="AC270" s="161">
        <f t="shared" si="126"/>
        <v>0</v>
      </c>
      <c r="AD270" s="161">
        <f t="shared" si="126"/>
        <v>0</v>
      </c>
      <c r="AE270" s="161">
        <f t="shared" si="126"/>
        <v>0</v>
      </c>
      <c r="AF270" s="174">
        <f t="shared" si="12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27"/>
        <v>0</v>
      </c>
      <c r="D271" s="161">
        <f t="shared" si="127"/>
        <v>0</v>
      </c>
      <c r="E271" s="161">
        <f t="shared" si="127"/>
        <v>0</v>
      </c>
      <c r="F271" s="161">
        <f t="shared" si="127"/>
        <v>0</v>
      </c>
      <c r="G271" s="161">
        <f t="shared" si="127"/>
        <v>0</v>
      </c>
      <c r="H271" s="161">
        <f t="shared" si="127"/>
        <v>0</v>
      </c>
      <c r="I271" s="161">
        <f t="shared" si="127"/>
        <v>0</v>
      </c>
      <c r="J271" s="161">
        <f t="shared" si="127"/>
        <v>0</v>
      </c>
      <c r="K271" s="161">
        <f t="shared" si="127"/>
        <v>0</v>
      </c>
      <c r="L271" s="161">
        <f t="shared" si="127"/>
        <v>0</v>
      </c>
      <c r="M271" s="161">
        <f t="shared" si="127"/>
        <v>0</v>
      </c>
      <c r="N271" s="161">
        <f t="shared" si="127"/>
        <v>0</v>
      </c>
      <c r="O271" s="161">
        <f t="shared" si="127"/>
        <v>0</v>
      </c>
      <c r="P271" s="161">
        <f t="shared" si="127"/>
        <v>0</v>
      </c>
      <c r="Q271" s="161">
        <f t="shared" si="127"/>
        <v>0</v>
      </c>
      <c r="R271" s="161">
        <f t="shared" si="127"/>
        <v>0</v>
      </c>
      <c r="S271" s="161">
        <f t="shared" si="126"/>
        <v>0</v>
      </c>
      <c r="T271" s="161">
        <f t="shared" si="126"/>
        <v>0</v>
      </c>
      <c r="U271" s="161">
        <f t="shared" si="126"/>
        <v>0</v>
      </c>
      <c r="V271" s="161">
        <f t="shared" si="126"/>
        <v>0</v>
      </c>
      <c r="W271" s="161">
        <f t="shared" si="126"/>
        <v>0</v>
      </c>
      <c r="X271" s="161">
        <f t="shared" si="126"/>
        <v>0</v>
      </c>
      <c r="Y271" s="161">
        <f t="shared" si="126"/>
        <v>0</v>
      </c>
      <c r="Z271" s="161">
        <f t="shared" si="126"/>
        <v>0</v>
      </c>
      <c r="AA271" s="161">
        <f t="shared" si="126"/>
        <v>0</v>
      </c>
      <c r="AB271" s="161">
        <f t="shared" si="126"/>
        <v>0</v>
      </c>
      <c r="AC271" s="161">
        <f t="shared" si="126"/>
        <v>0</v>
      </c>
      <c r="AD271" s="161">
        <f t="shared" si="126"/>
        <v>0</v>
      </c>
      <c r="AE271" s="161">
        <f t="shared" si="126"/>
        <v>0</v>
      </c>
      <c r="AF271" s="174">
        <f t="shared" si="12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27"/>
        <v>0</v>
      </c>
      <c r="D272" s="161">
        <f t="shared" si="127"/>
        <v>0</v>
      </c>
      <c r="E272" s="161">
        <f t="shared" si="127"/>
        <v>0</v>
      </c>
      <c r="F272" s="161">
        <f t="shared" si="127"/>
        <v>0</v>
      </c>
      <c r="G272" s="161">
        <f t="shared" si="127"/>
        <v>0</v>
      </c>
      <c r="H272" s="161">
        <f t="shared" si="127"/>
        <v>0</v>
      </c>
      <c r="I272" s="161">
        <f t="shared" si="127"/>
        <v>0</v>
      </c>
      <c r="J272" s="161">
        <f t="shared" si="127"/>
        <v>0</v>
      </c>
      <c r="K272" s="161">
        <f t="shared" si="127"/>
        <v>0</v>
      </c>
      <c r="L272" s="161">
        <f t="shared" si="127"/>
        <v>0</v>
      </c>
      <c r="M272" s="161">
        <f t="shared" si="127"/>
        <v>0</v>
      </c>
      <c r="N272" s="161">
        <f t="shared" si="127"/>
        <v>0</v>
      </c>
      <c r="O272" s="161">
        <f t="shared" si="127"/>
        <v>0</v>
      </c>
      <c r="P272" s="161">
        <f t="shared" si="127"/>
        <v>0</v>
      </c>
      <c r="Q272" s="161">
        <f t="shared" si="127"/>
        <v>0</v>
      </c>
      <c r="R272" s="161">
        <f t="shared" si="127"/>
        <v>0</v>
      </c>
      <c r="S272" s="161">
        <f t="shared" si="126"/>
        <v>0</v>
      </c>
      <c r="T272" s="161">
        <f t="shared" si="126"/>
        <v>0</v>
      </c>
      <c r="U272" s="161">
        <f t="shared" si="126"/>
        <v>0</v>
      </c>
      <c r="V272" s="161">
        <f t="shared" si="126"/>
        <v>0</v>
      </c>
      <c r="W272" s="161">
        <f t="shared" si="126"/>
        <v>0</v>
      </c>
      <c r="X272" s="161">
        <f t="shared" si="126"/>
        <v>0</v>
      </c>
      <c r="Y272" s="161">
        <f t="shared" si="126"/>
        <v>0</v>
      </c>
      <c r="Z272" s="161">
        <f t="shared" si="126"/>
        <v>0</v>
      </c>
      <c r="AA272" s="161">
        <f t="shared" si="126"/>
        <v>0</v>
      </c>
      <c r="AB272" s="161">
        <f t="shared" si="126"/>
        <v>0</v>
      </c>
      <c r="AC272" s="161">
        <f t="shared" si="126"/>
        <v>0</v>
      </c>
      <c r="AD272" s="161">
        <f t="shared" si="126"/>
        <v>0</v>
      </c>
      <c r="AE272" s="161">
        <f t="shared" si="126"/>
        <v>0</v>
      </c>
      <c r="AF272" s="174">
        <f t="shared" si="12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27"/>
        <v>0</v>
      </c>
      <c r="D273" s="177">
        <f t="shared" si="127"/>
        <v>0</v>
      </c>
      <c r="E273" s="177">
        <f t="shared" si="127"/>
        <v>0</v>
      </c>
      <c r="F273" s="177">
        <f t="shared" si="127"/>
        <v>0</v>
      </c>
      <c r="G273" s="177">
        <f t="shared" si="127"/>
        <v>0</v>
      </c>
      <c r="H273" s="177">
        <f t="shared" si="127"/>
        <v>0</v>
      </c>
      <c r="I273" s="177">
        <f t="shared" si="127"/>
        <v>0</v>
      </c>
      <c r="J273" s="177">
        <f t="shared" si="127"/>
        <v>0</v>
      </c>
      <c r="K273" s="177">
        <f t="shared" si="127"/>
        <v>0</v>
      </c>
      <c r="L273" s="177">
        <f t="shared" si="127"/>
        <v>0</v>
      </c>
      <c r="M273" s="177">
        <f t="shared" si="127"/>
        <v>0</v>
      </c>
      <c r="N273" s="177">
        <f t="shared" si="127"/>
        <v>0</v>
      </c>
      <c r="O273" s="177">
        <f t="shared" si="127"/>
        <v>0</v>
      </c>
      <c r="P273" s="177">
        <f t="shared" si="127"/>
        <v>0</v>
      </c>
      <c r="Q273" s="177">
        <f t="shared" si="127"/>
        <v>0</v>
      </c>
      <c r="R273" s="177">
        <f t="shared" si="127"/>
        <v>0</v>
      </c>
      <c r="S273" s="177">
        <f t="shared" si="126"/>
        <v>0</v>
      </c>
      <c r="T273" s="177">
        <f t="shared" si="126"/>
        <v>0</v>
      </c>
      <c r="U273" s="177">
        <f t="shared" si="126"/>
        <v>0</v>
      </c>
      <c r="V273" s="177">
        <f t="shared" si="126"/>
        <v>0</v>
      </c>
      <c r="W273" s="177">
        <f t="shared" si="126"/>
        <v>0</v>
      </c>
      <c r="X273" s="177">
        <f t="shared" si="126"/>
        <v>0</v>
      </c>
      <c r="Y273" s="177">
        <f t="shared" si="126"/>
        <v>0</v>
      </c>
      <c r="Z273" s="177">
        <f t="shared" si="126"/>
        <v>0</v>
      </c>
      <c r="AA273" s="177">
        <f t="shared" si="126"/>
        <v>0</v>
      </c>
      <c r="AB273" s="177">
        <f t="shared" si="126"/>
        <v>0</v>
      </c>
      <c r="AC273" s="177">
        <f t="shared" si="126"/>
        <v>0</v>
      </c>
      <c r="AD273" s="177">
        <f t="shared" si="126"/>
        <v>0</v>
      </c>
      <c r="AE273" s="177">
        <f t="shared" si="126"/>
        <v>0</v>
      </c>
      <c r="AF273" s="178">
        <f t="shared" si="12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28">SUM(B169:B273)</f>
        <v>0</v>
      </c>
      <c r="C274" s="180">
        <f t="shared" ref="B274:AG274" si="129">SUM(C169:C273)</f>
        <v>0</v>
      </c>
      <c r="D274" s="180">
        <f t="shared" si="129"/>
        <v>0</v>
      </c>
      <c r="E274" s="180">
        <f t="shared" si="129"/>
        <v>0</v>
      </c>
      <c r="F274" s="180">
        <f t="shared" si="129"/>
        <v>0</v>
      </c>
      <c r="G274" s="180">
        <f t="shared" si="129"/>
        <v>0</v>
      </c>
      <c r="H274" s="180">
        <f t="shared" si="129"/>
        <v>0</v>
      </c>
      <c r="I274" s="180">
        <f t="shared" si="129"/>
        <v>0</v>
      </c>
      <c r="J274" s="180">
        <f t="shared" si="129"/>
        <v>0</v>
      </c>
      <c r="K274" s="180">
        <f t="shared" si="129"/>
        <v>0</v>
      </c>
      <c r="L274" s="180">
        <f t="shared" si="129"/>
        <v>0</v>
      </c>
      <c r="M274" s="180">
        <f t="shared" si="129"/>
        <v>0</v>
      </c>
      <c r="N274" s="180">
        <f t="shared" si="129"/>
        <v>0</v>
      </c>
      <c r="O274" s="180">
        <f t="shared" si="129"/>
        <v>0</v>
      </c>
      <c r="P274" s="180">
        <f t="shared" si="129"/>
        <v>0</v>
      </c>
      <c r="Q274" s="180">
        <f t="shared" si="129"/>
        <v>0</v>
      </c>
      <c r="R274" s="180">
        <f t="shared" si="129"/>
        <v>0</v>
      </c>
      <c r="S274" s="180">
        <f t="shared" si="129"/>
        <v>0</v>
      </c>
      <c r="T274" s="180">
        <f t="shared" si="129"/>
        <v>0</v>
      </c>
      <c r="U274" s="180">
        <f t="shared" si="129"/>
        <v>0</v>
      </c>
      <c r="V274" s="180">
        <f t="shared" si="129"/>
        <v>0</v>
      </c>
      <c r="W274" s="180">
        <f t="shared" si="129"/>
        <v>0</v>
      </c>
      <c r="X274" s="180">
        <f t="shared" si="129"/>
        <v>0</v>
      </c>
      <c r="Y274" s="180">
        <f t="shared" si="129"/>
        <v>0</v>
      </c>
      <c r="Z274" s="180">
        <f t="shared" si="129"/>
        <v>0</v>
      </c>
      <c r="AA274" s="180">
        <f t="shared" si="129"/>
        <v>0</v>
      </c>
      <c r="AB274" s="180">
        <f t="shared" ref="AB274" si="130">SUM(AB169:AB273)</f>
        <v>0</v>
      </c>
      <c r="AC274" s="180">
        <f t="shared" si="129"/>
        <v>0</v>
      </c>
      <c r="AD274" s="180">
        <f t="shared" si="129"/>
        <v>0</v>
      </c>
      <c r="AE274" s="180">
        <f t="shared" si="129"/>
        <v>0</v>
      </c>
      <c r="AF274" s="181">
        <f t="shared" si="129"/>
        <v>0</v>
      </c>
      <c r="AG274" s="182">
        <f t="shared" si="129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5" priority="29">
      <formula>$AH11=0</formula>
    </cfRule>
  </conditionalFormatting>
  <conditionalFormatting sqref="A101:A102">
    <cfRule type="expression" dxfId="184" priority="197">
      <formula>$AH106=0</formula>
    </cfRule>
  </conditionalFormatting>
  <conditionalFormatting sqref="A103:A107">
    <cfRule type="expression" dxfId="183" priority="145">
      <formula>$AH102=0</formula>
    </cfRule>
  </conditionalFormatting>
  <conditionalFormatting sqref="A160:A167">
    <cfRule type="expression" dxfId="182" priority="198">
      <formula>$AH267=0</formula>
    </cfRule>
  </conditionalFormatting>
  <conditionalFormatting sqref="A168:A275">
    <cfRule type="expression" dxfId="181" priority="68">
      <formula>$AH168=0</formula>
    </cfRule>
  </conditionalFormatting>
  <conditionalFormatting sqref="B8">
    <cfRule type="expression" dxfId="180" priority="193">
      <formula>AND(C$9&gt;=14/24,C$9&lt;20/24)</formula>
    </cfRule>
    <cfRule type="expression" dxfId="179" priority="194">
      <formula>AND(C$9&gt;=8/24,C$9&lt;14/24)</formula>
    </cfRule>
    <cfRule type="expression" dxfId="178" priority="195">
      <formula>C$9&lt;8/24</formula>
    </cfRule>
    <cfRule type="expression" dxfId="177" priority="196">
      <formula>C$9&gt;=20/24</formula>
    </cfRule>
  </conditionalFormatting>
  <conditionalFormatting sqref="AE12:AF13 B9:AF10 B113:C115 B108:C108 B117:C124 B153:C153 B93:C96 B76:D90 R13:Y13 B72:Y72 AE85:AF90 D137:Z151 D152:AF159 AF137:AF151 D93:AF115 Z11:AD13 E76:AF77 E79:AD90 D117:AF134">
    <cfRule type="expression" dxfId="176" priority="110">
      <formula>B$9&gt;=20/24</formula>
    </cfRule>
  </conditionalFormatting>
  <conditionalFormatting sqref="B9:AF10 AE12:AF13 B113:C115 B108:C108 B117:C124 B153:C153 B93:C96 B76:D90 R13:Y13 B72:Y72 AE85:AF90 D137:Z151 D152:AF159 AF137:AF151 D93:AF115 Z11:AD13 E76:AF77 E79:AD90 D117:AF134">
    <cfRule type="expression" dxfId="175" priority="111">
      <formula>AND(B$9&gt;=14/24,B$9&lt;20/24)</formula>
    </cfRule>
    <cfRule type="expression" dxfId="174" priority="112">
      <formula>AND(B$9&gt;=8/24,B$9&lt;14/24)</formula>
    </cfRule>
    <cfRule type="expression" dxfId="173" priority="113">
      <formula>B$9&lt;8/24</formula>
    </cfRule>
  </conditionalFormatting>
  <conditionalFormatting sqref="B29:Y53 Z14:AF53">
    <cfRule type="expression" dxfId="172" priority="53">
      <formula>B14&gt;$AG14*1</formula>
    </cfRule>
    <cfRule type="expression" dxfId="171" priority="54">
      <formula>B$9&gt;=20/24</formula>
    </cfRule>
    <cfRule type="expression" dxfId="170" priority="55">
      <formula>AND(B$9&gt;=14/24,B$9&lt;20/24)</formula>
    </cfRule>
    <cfRule type="expression" dxfId="169" priority="56">
      <formula>AND(B$9&gt;=8/24,B$9&lt;14/24)</formula>
    </cfRule>
    <cfRule type="expression" dxfId="168" priority="57">
      <formula>B$9&lt;8/24</formula>
    </cfRule>
  </conditionalFormatting>
  <conditionalFormatting sqref="B54:AF68">
    <cfRule type="expression" dxfId="167" priority="46">
      <formula>B$9&lt;8/24</formula>
    </cfRule>
  </conditionalFormatting>
  <conditionalFormatting sqref="B54:AF70">
    <cfRule type="expression" dxfId="166" priority="43">
      <formula>B$9&gt;=20/24</formula>
    </cfRule>
    <cfRule type="expression" dxfId="165" priority="44">
      <formula>AND(B$9&gt;=14/24,B$9&lt;20/24)</formula>
    </cfRule>
    <cfRule type="expression" dxfId="164" priority="45">
      <formula>AND(B$9&gt;=8/24,B$9&lt;14/24)</formula>
    </cfRule>
  </conditionalFormatting>
  <conditionalFormatting sqref="B63:AF65">
    <cfRule type="expression" dxfId="163" priority="47">
      <formula>B63&gt;$AG63</formula>
    </cfRule>
  </conditionalFormatting>
  <conditionalFormatting sqref="B69:AF70">
    <cfRule type="expression" dxfId="162" priority="118">
      <formula>B$9&lt;8/24</formula>
    </cfRule>
  </conditionalFormatting>
  <conditionalFormatting sqref="B72:AF75">
    <cfRule type="expression" dxfId="161" priority="34">
      <formula>B72&gt;$AG72*1</formula>
    </cfRule>
  </conditionalFormatting>
  <conditionalFormatting sqref="B73:AF75">
    <cfRule type="expression" dxfId="160" priority="35">
      <formula>B$9&gt;=20/24</formula>
    </cfRule>
    <cfRule type="expression" dxfId="159" priority="36">
      <formula>AND(B$9&gt;=14/24,B$9&lt;20/24)</formula>
    </cfRule>
    <cfRule type="expression" dxfId="158" priority="37">
      <formula>AND(B$9&gt;=8/24,B$9&lt;14/24)</formula>
    </cfRule>
    <cfRule type="expression" dxfId="157" priority="38">
      <formula>B$9&lt;8/24</formula>
    </cfRule>
  </conditionalFormatting>
  <conditionalFormatting sqref="D161:AF167">
    <cfRule type="expression" dxfId="156" priority="69">
      <formula>D$9&gt;=20/24</formula>
    </cfRule>
    <cfRule type="expression" dxfId="155" priority="70">
      <formula>AND(D$9&gt;=14/24,D$9&lt;20/24)</formula>
    </cfRule>
    <cfRule type="expression" dxfId="154" priority="71">
      <formula>AND(D$9&gt;=8/24,D$9&lt;14/24)</formula>
    </cfRule>
    <cfRule type="expression" dxfId="153" priority="72">
      <formula>D$9&lt;8/24</formula>
    </cfRule>
  </conditionalFormatting>
  <conditionalFormatting sqref="C207:AA274 D169:S174 C175:S206 T169:AA206 AB169:AF274">
    <cfRule type="expression" dxfId="152" priority="30">
      <formula>C$9&gt;=20/24</formula>
    </cfRule>
    <cfRule type="expression" dxfId="151" priority="31">
      <formula>AND(C$9&gt;=14/24,C$9&lt;20/24)</formula>
    </cfRule>
    <cfRule type="expression" dxfId="150" priority="32">
      <formula>AND(C$9&gt;=8/24,C$9&lt;14/24)</formula>
    </cfRule>
    <cfRule type="expression" dxfId="149" priority="33">
      <formula>C$9&lt;8/24</formula>
    </cfRule>
  </conditionalFormatting>
  <conditionalFormatting sqref="AE12:AF13 W96:AA96 B76:V96 W79:W95 X79:X90 W76:X78 R13:Y13 X91:AA95 AE69:AF70 AE78:AG78 AE76:AF77 Y76:AA90 AE80:AF95 AE96:AG96 Z11:AD13 B71:AG71 B69:AD69 AB76:AD96">
    <cfRule type="expression" dxfId="148" priority="109">
      <formula>B11&gt;$AG11*1</formula>
    </cfRule>
  </conditionalFormatting>
  <conditionalFormatting sqref="E79:AD83">
    <cfRule type="expression" dxfId="147" priority="119">
      <formula>E$9&gt;=20/24</formula>
    </cfRule>
    <cfRule type="expression" dxfId="146" priority="120">
      <formula>AND(E$9&gt;=14/24,E$9&lt;20/24)</formula>
    </cfRule>
    <cfRule type="expression" dxfId="145" priority="121">
      <formula>AND(E$9&gt;=8/24,E$9&lt;14/24)</formula>
    </cfRule>
    <cfRule type="expression" dxfId="144" priority="122">
      <formula>E$9&lt;8/24</formula>
    </cfRule>
  </conditionalFormatting>
  <conditionalFormatting sqref="E84:AD84">
    <cfRule type="expression" dxfId="143" priority="114">
      <formula>E$9&gt;=20/24</formula>
    </cfRule>
    <cfRule type="expression" dxfId="142" priority="115">
      <formula>AND(E$9&gt;=14/24,E$9&lt;20/24)</formula>
    </cfRule>
    <cfRule type="expression" dxfId="141" priority="116">
      <formula>AND(E$9&gt;=8/24,E$9&lt;14/24)</formula>
    </cfRule>
    <cfRule type="expression" dxfId="140" priority="117">
      <formula>E$9&lt;8/24</formula>
    </cfRule>
  </conditionalFormatting>
  <conditionalFormatting sqref="E78:Y78 Z76:AF78 B72:AF72">
    <cfRule type="expression" dxfId="139" priority="129">
      <formula>B$9&gt;=20/24</formula>
    </cfRule>
    <cfRule type="expression" dxfId="138" priority="130">
      <formula>AND(B$9&gt;=14/24,B$9&lt;20/24)</formula>
    </cfRule>
    <cfRule type="expression" dxfId="137" priority="131">
      <formula>AND(B$9&gt;=8/24,B$9&lt;14/24)</formula>
    </cfRule>
    <cfRule type="expression" dxfId="136" priority="132">
      <formula>B$9&lt;8/24</formula>
    </cfRule>
  </conditionalFormatting>
  <conditionalFormatting sqref="J73:Y73 Z73:AF75">
    <cfRule type="expression" dxfId="135" priority="39">
      <formula>J$9&gt;=20/24</formula>
    </cfRule>
    <cfRule type="expression" dxfId="134" priority="40">
      <formula>AND(J$9&gt;=14/24,J$9&lt;20/24)</formula>
    </cfRule>
    <cfRule type="expression" dxfId="133" priority="41">
      <formula>AND(J$9&gt;=8/24,J$9&lt;14/24)</formula>
    </cfRule>
    <cfRule type="expression" dxfId="132" priority="42">
      <formula>J$9&lt;8/24</formula>
    </cfRule>
  </conditionalFormatting>
  <conditionalFormatting sqref="F79:AD81">
    <cfRule type="expression" dxfId="131" priority="137">
      <formula>F$9&gt;=20/24</formula>
    </cfRule>
    <cfRule type="expression" dxfId="130" priority="138">
      <formula>AND(F$9&gt;=14/24,F$9&lt;20/24)</formula>
    </cfRule>
    <cfRule type="expression" dxfId="129" priority="139">
      <formula>AND(F$9&gt;=8/24,F$9&lt;14/24)</formula>
    </cfRule>
    <cfRule type="expression" dxfId="128" priority="140">
      <formula>F$9&lt;8/24</formula>
    </cfRule>
  </conditionalFormatting>
  <conditionalFormatting sqref="L84:AF84">
    <cfRule type="expression" dxfId="127" priority="133">
      <formula>L$9&gt;=20/24</formula>
    </cfRule>
    <cfRule type="expression" dxfId="126" priority="134">
      <formula>AND(L$9&gt;=14/24,L$9&lt;20/24)</formula>
    </cfRule>
    <cfRule type="expression" dxfId="125" priority="135">
      <formula>AND(L$9&gt;=8/24,L$9&lt;14/24)</formula>
    </cfRule>
    <cfRule type="expression" dxfId="124" priority="136">
      <formula>L$9&lt;8/24</formula>
    </cfRule>
  </conditionalFormatting>
  <conditionalFormatting sqref="M8 S8 AB8">
    <cfRule type="expression" dxfId="123" priority="186">
      <formula>AND(N$9&gt;=14/24,N$9&lt;20/24)</formula>
    </cfRule>
    <cfRule type="expression" dxfId="122" priority="187">
      <formula>AND(N$9&gt;=8/24,N$9&lt;14/24)</formula>
    </cfRule>
    <cfRule type="expression" dxfId="121" priority="188">
      <formula>N$9&lt;8/24</formula>
    </cfRule>
  </conditionalFormatting>
  <conditionalFormatting sqref="R79:AD83">
    <cfRule type="expression" dxfId="120" priority="141">
      <formula>R$9&gt;=20/24</formula>
    </cfRule>
    <cfRule type="expression" dxfId="119" priority="142">
      <formula>AND(R$9&gt;=14/24,R$9&lt;20/24)</formula>
    </cfRule>
    <cfRule type="expression" dxfId="118" priority="143">
      <formula>AND(R$9&gt;=8/24,R$9&lt;14/24)</formula>
    </cfRule>
    <cfRule type="expression" dxfId="117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" priority="185">
      <formula>N$9&gt;=20/24</formula>
    </cfRule>
  </conditionalFormatting>
  <conditionalFormatting sqref="S8">
    <cfRule type="expression" dxfId="115" priority="176">
      <formula>U$9&gt;=20/24</formula>
    </cfRule>
    <cfRule type="expression" dxfId="114" priority="177">
      <formula>AND(U$9&gt;=14/24,U$9&lt;20/24)</formula>
    </cfRule>
    <cfRule type="expression" dxfId="113" priority="178">
      <formula>AND(U$9&gt;=8/24,U$9&lt;14/24)</formula>
    </cfRule>
    <cfRule type="expression" dxfId="112" priority="179">
      <formula>U$9&lt;8/24</formula>
    </cfRule>
  </conditionalFormatting>
  <conditionalFormatting sqref="X79:AF84">
    <cfRule type="expression" dxfId="111" priority="63">
      <formula>X$9&gt;=20/24</formula>
    </cfRule>
    <cfRule type="expression" dxfId="110" priority="64">
      <formula>AND(X$9&gt;=14/24,X$9&lt;20/24)</formula>
    </cfRule>
    <cfRule type="expression" dxfId="109" priority="65">
      <formula>AND(X$9&gt;=8/24,X$9&lt;14/24)</formula>
    </cfRule>
    <cfRule type="expression" dxfId="108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7" priority="48">
      <formula>Z$9&gt;=20/24</formula>
    </cfRule>
    <cfRule type="expression" dxfId="106" priority="49">
      <formula>AND(Z$9&gt;=14/24,Z$9&lt;20/24)</formula>
    </cfRule>
    <cfRule type="expression" dxfId="105" priority="50">
      <formula>AND(Z$9&gt;=8/24,Z$9&lt;14/24)</formula>
    </cfRule>
    <cfRule type="expression" dxfId="104" priority="51">
      <formula>Z$9&lt;8/24</formula>
    </cfRule>
  </conditionalFormatting>
  <conditionalFormatting sqref="Z69:AD70">
    <cfRule type="expression" dxfId="103" priority="128">
      <formula>Z69&gt;$AG69</formula>
    </cfRule>
  </conditionalFormatting>
  <conditionalFormatting sqref="AE11:AF11 B66:Y70 B54:AF62 Z66:AF69">
    <cfRule type="expression" dxfId="102" priority="123">
      <formula>B11&gt;$AG11</formula>
    </cfRule>
  </conditionalFormatting>
  <conditionalFormatting sqref="AB8">
    <cfRule type="expression" dxfId="101" priority="172">
      <formula>AD$9&gt;=20/24</formula>
    </cfRule>
    <cfRule type="expression" dxfId="100" priority="173">
      <formula>AND(AD$9&gt;=14/24,AD$9&lt;20/24)</formula>
    </cfRule>
    <cfRule type="expression" dxfId="99" priority="174">
      <formula>AND(AD$9&gt;=8/24,AD$9&lt;14/24)</formula>
    </cfRule>
    <cfRule type="expression" dxfId="98" priority="175">
      <formula>AD$9&lt;8/24</formula>
    </cfRule>
  </conditionalFormatting>
  <conditionalFormatting sqref="AE11:AF11">
    <cfRule type="expression" dxfId="97" priority="124">
      <formula>AE$9&gt;=20/24</formula>
    </cfRule>
    <cfRule type="expression" dxfId="96" priority="125">
      <formula>AND(AE$9&gt;=14/24,AE$9&lt;20/24)</formula>
    </cfRule>
    <cfRule type="expression" dxfId="95" priority="126">
      <formula>AND(AE$9&gt;=8/24,AE$9&lt;14/24)</formula>
    </cfRule>
    <cfRule type="expression" dxfId="94" priority="127">
      <formula>AE$9&lt;8/24</formula>
    </cfRule>
  </conditionalFormatting>
  <conditionalFormatting sqref="AE79:AF79">
    <cfRule type="expression" dxfId="93" priority="199">
      <formula>AE79&gt;$AG80*1</formula>
    </cfRule>
  </conditionalFormatting>
  <conditionalFormatting sqref="AG78">
    <cfRule type="expression" dxfId="92" priority="151">
      <formula>AG$9&gt;=20/24</formula>
    </cfRule>
    <cfRule type="expression" dxfId="91" priority="152">
      <formula>AND(AG$9&gt;=14/24,AG$9&lt;20/24)</formula>
    </cfRule>
    <cfRule type="expression" dxfId="90" priority="153">
      <formula>AND(AG$9&gt;=8/24,AG$9&lt;14/24)</formula>
    </cfRule>
    <cfRule type="expression" dxfId="89" priority="154">
      <formula>AG$9&lt;8/24</formula>
    </cfRule>
  </conditionalFormatting>
  <conditionalFormatting sqref="AG91:AG92">
    <cfRule type="expression" dxfId="88" priority="146">
      <formula>AG91&gt;$AG91</formula>
    </cfRule>
  </conditionalFormatting>
  <conditionalFormatting sqref="AG96">
    <cfRule type="expression" dxfId="87" priority="147">
      <formula>AG$9&gt;=20/24</formula>
    </cfRule>
    <cfRule type="expression" dxfId="86" priority="148">
      <formula>AND(AG$9&gt;=14/24,AG$9&lt;20/24)</formula>
    </cfRule>
    <cfRule type="expression" dxfId="85" priority="149">
      <formula>AND(AG$9&gt;=8/24,AG$9&lt;14/24)</formula>
    </cfRule>
    <cfRule type="expression" dxfId="84" priority="150">
      <formula>AG$9&lt;8/24</formula>
    </cfRule>
  </conditionalFormatting>
  <conditionalFormatting sqref="AG113">
    <cfRule type="expression" dxfId="83" priority="168">
      <formula>AG$9&gt;=20/24</formula>
    </cfRule>
    <cfRule type="expression" dxfId="82" priority="169">
      <formula>AND(AG$9&gt;=14/24,AG$9&lt;20/24)</formula>
    </cfRule>
    <cfRule type="expression" dxfId="81" priority="170">
      <formula>AND(AG$9&gt;=8/24,AG$9&lt;14/24)</formula>
    </cfRule>
    <cfRule type="expression" dxfId="80" priority="171">
      <formula>AG$9&lt;8/24</formula>
    </cfRule>
  </conditionalFormatting>
  <conditionalFormatting sqref="AH8:AI10">
    <cfRule type="expression" dxfId="79" priority="59">
      <formula>AH$9&gt;=20/24</formula>
    </cfRule>
    <cfRule type="expression" dxfId="78" priority="60">
      <formula>AND(AH$9&gt;=14/24,AH$9&lt;20/24)</formula>
    </cfRule>
    <cfRule type="expression" dxfId="77" priority="61">
      <formula>AND(AH$9&gt;=8/24,AH$9&lt;14/24)</formula>
    </cfRule>
    <cfRule type="expression" dxfId="76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5" priority="189">
      <formula>AJ$9&gt;=20/24</formula>
    </cfRule>
    <cfRule type="expression" dxfId="74" priority="190">
      <formula>AND(AJ$9&gt;=14/24,AJ$9&lt;20/24)</formula>
    </cfRule>
    <cfRule type="expression" dxfId="73" priority="191">
      <formula>AND(AJ$9&gt;=8/24,AJ$9&lt;14/24)</formula>
    </cfRule>
    <cfRule type="expression" dxfId="72" priority="192">
      <formula>AJ$9&lt;8/24</formula>
    </cfRule>
  </conditionalFormatting>
  <conditionalFormatting sqref="AL99:AN99 AL105:AN105">
    <cfRule type="expression" dxfId="71" priority="161">
      <formula>AL$9&gt;=20/24</formula>
    </cfRule>
    <cfRule type="expression" dxfId="70" priority="162">
      <formula>AND(AL$9&gt;=14/24,AL$9&lt;20/24)</formula>
    </cfRule>
    <cfRule type="expression" dxfId="69" priority="163">
      <formula>AND(AL$9&gt;=8/24,AL$9&lt;14/24)</formula>
    </cfRule>
    <cfRule type="expression" dxfId="68" priority="164">
      <formula>AL$9&lt;8/24</formula>
    </cfRule>
  </conditionalFormatting>
  <conditionalFormatting sqref="AM15:AM21 AN16:AR21">
    <cfRule type="expression" dxfId="67" priority="85">
      <formula>AX$9&gt;=20/24</formula>
    </cfRule>
    <cfRule type="expression" dxfId="66" priority="86">
      <formula>AND(AX$9&gt;=14/24,AX$9&lt;20/24)</formula>
    </cfRule>
    <cfRule type="expression" dxfId="65" priority="87">
      <formula>AND(AX$9&gt;=8/24,AX$9&lt;14/24)</formula>
    </cfRule>
    <cfRule type="expression" dxfId="64" priority="88">
      <formula>AX$9&lt;8/24</formula>
    </cfRule>
  </conditionalFormatting>
  <conditionalFormatting sqref="AN100:AN103">
    <cfRule type="expression" dxfId="63" priority="157">
      <formula>AN$9&gt;=20/24</formula>
    </cfRule>
    <cfRule type="expression" dxfId="62" priority="158">
      <formula>AND(AN$9&gt;=14/24,AN$9&lt;20/24)</formula>
    </cfRule>
    <cfRule type="expression" dxfId="61" priority="159">
      <formula>AND(AN$9&gt;=8/24,AN$9&lt;14/24)</formula>
    </cfRule>
    <cfRule type="expression" dxfId="60" priority="160">
      <formula>AN$9&lt;8/24</formula>
    </cfRule>
  </conditionalFormatting>
  <conditionalFormatting sqref="AN15:AR15">
    <cfRule type="expression" dxfId="59" priority="73">
      <formula>U$9&gt;=20/24</formula>
    </cfRule>
    <cfRule type="expression" dxfId="58" priority="74">
      <formula>AND(U$9&gt;=14/24,U$9&lt;20/24)</formula>
    </cfRule>
    <cfRule type="expression" dxfId="57" priority="75">
      <formula>AND(U$9&gt;=8/24,U$9&lt;14/24)</formula>
    </cfRule>
    <cfRule type="expression" dxfId="56" priority="76">
      <formula>U$9&lt;8/24</formula>
    </cfRule>
  </conditionalFormatting>
  <conditionalFormatting sqref="AS15">
    <cfRule type="expression" dxfId="55" priority="81">
      <formula>AA$9&gt;=20/24</formula>
    </cfRule>
    <cfRule type="expression" dxfId="54" priority="82">
      <formula>AND(AA$9&gt;=14/24,AA$9&lt;20/24)</formula>
    </cfRule>
    <cfRule type="expression" dxfId="53" priority="83">
      <formula>AND(AA$9&gt;=8/24,AA$9&lt;14/24)</formula>
    </cfRule>
    <cfRule type="expression" dxfId="52" priority="84">
      <formula>AA$9&lt;8/24</formula>
    </cfRule>
  </conditionalFormatting>
  <conditionalFormatting sqref="AS16:AS21">
    <cfRule type="expression" dxfId="51" priority="89">
      <formula>BE$9&gt;=20/24</formula>
    </cfRule>
    <cfRule type="expression" dxfId="50" priority="90">
      <formula>AND(BE$9&gt;=14/24,BE$9&lt;20/24)</formula>
    </cfRule>
    <cfRule type="expression" dxfId="49" priority="91">
      <formula>AND(BE$9&gt;=8/24,BE$9&lt;14/24)</formula>
    </cfRule>
    <cfRule type="expression" dxfId="48" priority="92">
      <formula>BE$9&lt;8/24</formula>
    </cfRule>
  </conditionalFormatting>
  <conditionalFormatting sqref="AT15 AX15:BJ15">
    <cfRule type="expression" dxfId="47" priority="93">
      <formula>AC$9&gt;=20/24</formula>
    </cfRule>
    <cfRule type="expression" dxfId="46" priority="94">
      <formula>AND(AC$9&gt;=14/24,AC$9&lt;20/24)</formula>
    </cfRule>
    <cfRule type="expression" dxfId="45" priority="95">
      <formula>AND(AC$9&gt;=8/24,AC$9&lt;14/24)</formula>
    </cfRule>
    <cfRule type="expression" dxfId="44" priority="96">
      <formula>AC$9&lt;8/24</formula>
    </cfRule>
  </conditionalFormatting>
  <conditionalFormatting sqref="AT16:AT21">
    <cfRule type="expression" dxfId="43" priority="97">
      <formula>BG$9&gt;=20/24</formula>
    </cfRule>
    <cfRule type="expression" dxfId="42" priority="98">
      <formula>AND(BG$9&gt;=14/24,BG$9&lt;20/24)</formula>
    </cfRule>
    <cfRule type="expression" dxfId="41" priority="99">
      <formula>AND(BG$9&gt;=8/24,BG$9&lt;14/24)</formula>
    </cfRule>
    <cfRule type="expression" dxfId="40" priority="100">
      <formula>BG$9&lt;8/24</formula>
    </cfRule>
  </conditionalFormatting>
  <conditionalFormatting sqref="AU15:AV15">
    <cfRule type="expression" dxfId="39" priority="101">
      <formula>AE$9&gt;=20/24</formula>
    </cfRule>
    <cfRule type="expression" dxfId="38" priority="102">
      <formula>AND(AE$9&gt;=14/24,AE$9&lt;20/24)</formula>
    </cfRule>
    <cfRule type="expression" dxfId="37" priority="103">
      <formula>AND(AE$9&gt;=8/24,AE$9&lt;14/24)</formula>
    </cfRule>
    <cfRule type="expression" dxfId="36" priority="104">
      <formula>AE$9&lt;8/24</formula>
    </cfRule>
  </conditionalFormatting>
  <conditionalFormatting sqref="AU16:BJ21">
    <cfRule type="expression" dxfId="35" priority="105">
      <formula>BI$9&gt;=20/24</formula>
    </cfRule>
    <cfRule type="expression" dxfId="34" priority="106">
      <formula>AND(BI$9&gt;=14/24,BI$9&lt;20/24)</formula>
    </cfRule>
    <cfRule type="expression" dxfId="33" priority="107">
      <formula>AND(BI$9&gt;=8/24,BI$9&lt;14/24)</formula>
    </cfRule>
    <cfRule type="expression" dxfId="32" priority="108">
      <formula>BI$9&lt;8/24</formula>
    </cfRule>
  </conditionalFormatting>
  <conditionalFormatting sqref="AW15">
    <cfRule type="expression" dxfId="31" priority="77">
      <formula>B$9&gt;=20/24</formula>
    </cfRule>
    <cfRule type="expression" dxfId="30" priority="78">
      <formula>AND(B$9&gt;=14/24,B$9&lt;20/24)</formula>
    </cfRule>
    <cfRule type="expression" dxfId="29" priority="79">
      <formula>AND(B$9&gt;=8/24,B$9&lt;14/24)</formula>
    </cfRule>
    <cfRule type="expression" dxfId="28" priority="80">
      <formula>B$9&lt;8/24</formula>
    </cfRule>
  </conditionalFormatting>
  <conditionalFormatting sqref="A73">
    <cfRule type="expression" dxfId="27" priority="28">
      <formula>$AH73=0</formula>
    </cfRule>
  </conditionalFormatting>
  <conditionalFormatting sqref="B97:C107 B137:C152 B109:C112 B125:C134 B154:C159 B11:Q13 R11:Y12">
    <cfRule type="expression" dxfId="26" priority="24">
      <formula>B$9&gt;=20/24</formula>
    </cfRule>
  </conditionalFormatting>
  <conditionalFormatting sqref="B97:C107 B137:C152 B109:C112 B125:C134 B154:C159 B11:Q13 R11:Y12">
    <cfRule type="expression" dxfId="25" priority="25">
      <formula>AND(B$9&gt;=14/24,B$9&lt;20/24)</formula>
    </cfRule>
    <cfRule type="expression" dxfId="24" priority="26">
      <formula>AND(B$9&gt;=8/24,B$9&lt;14/24)</formula>
    </cfRule>
    <cfRule type="expression" dxfId="23" priority="27">
      <formula>B$9&lt;8/24</formula>
    </cfRule>
  </conditionalFormatting>
  <conditionalFormatting sqref="B14:Y28">
    <cfRule type="expression" dxfId="22" priority="14">
      <formula>B14&gt;$AG14*1</formula>
    </cfRule>
    <cfRule type="expression" dxfId="21" priority="15">
      <formula>B$9&gt;=20/24</formula>
    </cfRule>
    <cfRule type="expression" dxfId="20" priority="16">
      <formula>AND(B$9&gt;=14/24,B$9&lt;20/24)</formula>
    </cfRule>
    <cfRule type="expression" dxfId="19" priority="17">
      <formula>AND(B$9&gt;=8/24,B$9&lt;14/24)</formula>
    </cfRule>
    <cfRule type="expression" dxfId="18" priority="18">
      <formula>B$9&lt;8/24</formula>
    </cfRule>
  </conditionalFormatting>
  <conditionalFormatting sqref="B161:C167">
    <cfRule type="expression" dxfId="17" priority="19">
      <formula>B$9&gt;=20/24</formula>
    </cfRule>
    <cfRule type="expression" dxfId="16" priority="20">
      <formula>AND(B$9&gt;=14/24,B$9&lt;20/24)</formula>
    </cfRule>
    <cfRule type="expression" dxfId="15" priority="21">
      <formula>AND(B$9&gt;=8/24,B$9&lt;14/24)</formula>
    </cfRule>
    <cfRule type="expression" dxfId="14" priority="22">
      <formula>B$9&lt;8/24</formula>
    </cfRule>
  </conditionalFormatting>
  <conditionalFormatting sqref="B169:B274 C169:C174">
    <cfRule type="expression" dxfId="13" priority="10">
      <formula>B$9&gt;=20/24</formula>
    </cfRule>
    <cfRule type="expression" dxfId="12" priority="11">
      <formula>AND(B$9&gt;=14/24,B$9&lt;20/24)</formula>
    </cfRule>
    <cfRule type="expression" dxfId="11" priority="12">
      <formula>AND(B$9&gt;=8/24,B$9&lt;14/24)</formula>
    </cfRule>
    <cfRule type="expression" dxfId="10" priority="13">
      <formula>B$9&lt;8/24</formula>
    </cfRule>
  </conditionalFormatting>
  <conditionalFormatting sqref="B11:Q13 R11:Y12">
    <cfRule type="expression" dxfId="9" priority="23">
      <formula>B11&gt;$AG11*1</formula>
    </cfRule>
  </conditionalFormatting>
  <conditionalFormatting sqref="A153">
    <cfRule type="expression" dxfId="8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" priority="5">
      <formula>AL$9&gt;=20/24</formula>
    </cfRule>
  </conditionalFormatting>
  <conditionalFormatting sqref="AL153">
    <cfRule type="expression" dxfId="6" priority="6">
      <formula>AND(AL$9&gt;=14/24,AL$9&lt;20/24)</formula>
    </cfRule>
    <cfRule type="expression" dxfId="5" priority="7">
      <formula>AND(AL$9&gt;=8/24,AL$9&lt;14/24)</formula>
    </cfRule>
    <cfRule type="expression" dxfId="4" priority="8">
      <formula>AL$9&lt;8/24</formula>
    </cfRule>
  </conditionalFormatting>
  <conditionalFormatting sqref="AA137:AE151">
    <cfRule type="expression" dxfId="3" priority="1">
      <formula>AA$9&gt;=20/24</formula>
    </cfRule>
    <cfRule type="expression" dxfId="2" priority="2">
      <formula>AND(AA$9&gt;=14/24,AA$9&lt;20/24)</formula>
    </cfRule>
    <cfRule type="expression" dxfId="1" priority="3">
      <formula>AND(AA$9&gt;=8/24,AA$9&lt;14/24)</formula>
    </cfRule>
    <cfRule type="expression" dxfId="0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7" priority="37">
      <formula>$AH11=0</formula>
    </cfRule>
  </conditionalFormatting>
  <conditionalFormatting sqref="A101:A102">
    <cfRule type="expression" dxfId="366" priority="205">
      <formula>$AH106=0</formula>
    </cfRule>
  </conditionalFormatting>
  <conditionalFormatting sqref="A103:A107">
    <cfRule type="expression" dxfId="365" priority="153">
      <formula>$AH102=0</formula>
    </cfRule>
  </conditionalFormatting>
  <conditionalFormatting sqref="A160:A167">
    <cfRule type="expression" dxfId="364" priority="206">
      <formula>$AH267=0</formula>
    </cfRule>
  </conditionalFormatting>
  <conditionalFormatting sqref="A168:A275">
    <cfRule type="expression" dxfId="363" priority="76">
      <formula>$AH168=0</formula>
    </cfRule>
  </conditionalFormatting>
  <conditionalFormatting sqref="B8">
    <cfRule type="expression" dxfId="362" priority="201">
      <formula>AND(C$9&gt;=14/24,C$9&lt;20/24)</formula>
    </cfRule>
    <cfRule type="expression" dxfId="361" priority="202">
      <formula>AND(C$9&gt;=8/24,C$9&lt;14/24)</formula>
    </cfRule>
    <cfRule type="expression" dxfId="360" priority="203">
      <formula>C$9&lt;8/24</formula>
    </cfRule>
    <cfRule type="expression" dxfId="359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8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7" priority="119">
      <formula>AND(B$9&gt;=14/24,B$9&lt;20/24)</formula>
    </cfRule>
    <cfRule type="expression" dxfId="356" priority="120">
      <formula>AND(B$9&gt;=8/24,B$9&lt;14/24)</formula>
    </cfRule>
    <cfRule type="expression" dxfId="355" priority="121">
      <formula>B$9&lt;8/24</formula>
    </cfRule>
  </conditionalFormatting>
  <conditionalFormatting sqref="C14:AF28 B29:AF53">
    <cfRule type="expression" dxfId="354" priority="61">
      <formula>B14&gt;$AG14*1</formula>
    </cfRule>
    <cfRule type="expression" dxfId="353" priority="62">
      <formula>B$9&gt;=20/24</formula>
    </cfRule>
    <cfRule type="expression" dxfId="352" priority="63">
      <formula>AND(B$9&gt;=14/24,B$9&lt;20/24)</formula>
    </cfRule>
    <cfRule type="expression" dxfId="351" priority="64">
      <formula>AND(B$9&gt;=8/24,B$9&lt;14/24)</formula>
    </cfRule>
    <cfRule type="expression" dxfId="350" priority="65">
      <formula>B$9&lt;8/24</formula>
    </cfRule>
  </conditionalFormatting>
  <conditionalFormatting sqref="B54:AF68">
    <cfRule type="expression" dxfId="349" priority="54">
      <formula>B$9&lt;8/24</formula>
    </cfRule>
  </conditionalFormatting>
  <conditionalFormatting sqref="B54:AF70">
    <cfRule type="expression" dxfId="348" priority="51">
      <formula>B$9&gt;=20/24</formula>
    </cfRule>
    <cfRule type="expression" dxfId="347" priority="52">
      <formula>AND(B$9&gt;=14/24,B$9&lt;20/24)</formula>
    </cfRule>
    <cfRule type="expression" dxfId="346" priority="53">
      <formula>AND(B$9&gt;=8/24,B$9&lt;14/24)</formula>
    </cfRule>
  </conditionalFormatting>
  <conditionalFormatting sqref="B63:AF65">
    <cfRule type="expression" dxfId="345" priority="55">
      <formula>B63&gt;$AG63</formula>
    </cfRule>
  </conditionalFormatting>
  <conditionalFormatting sqref="B69:AF70">
    <cfRule type="expression" dxfId="344" priority="126">
      <formula>B$9&lt;8/24</formula>
    </cfRule>
  </conditionalFormatting>
  <conditionalFormatting sqref="B72:AF75">
    <cfRule type="expression" dxfId="343" priority="42">
      <formula>B72&gt;$AG72*1</formula>
    </cfRule>
  </conditionalFormatting>
  <conditionalFormatting sqref="B73:AF75">
    <cfRule type="expression" dxfId="342" priority="43">
      <formula>B$9&gt;=20/24</formula>
    </cfRule>
    <cfRule type="expression" dxfId="341" priority="44">
      <formula>AND(B$9&gt;=14/24,B$9&lt;20/24)</formula>
    </cfRule>
    <cfRule type="expression" dxfId="340" priority="45">
      <formula>AND(B$9&gt;=8/24,B$9&lt;14/24)</formula>
    </cfRule>
    <cfRule type="expression" dxfId="339" priority="46">
      <formula>B$9&lt;8/24</formula>
    </cfRule>
  </conditionalFormatting>
  <conditionalFormatting sqref="C161:AF167">
    <cfRule type="expression" dxfId="338" priority="77">
      <formula>C$9&gt;=20/24</formula>
    </cfRule>
    <cfRule type="expression" dxfId="337" priority="78">
      <formula>AND(C$9&gt;=14/24,C$9&lt;20/24)</formula>
    </cfRule>
    <cfRule type="expression" dxfId="336" priority="79">
      <formula>AND(C$9&gt;=8/24,C$9&lt;14/24)</formula>
    </cfRule>
    <cfRule type="expression" dxfId="335" priority="80">
      <formula>C$9&lt;8/24</formula>
    </cfRule>
  </conditionalFormatting>
  <conditionalFormatting sqref="C169:AF274">
    <cfRule type="expression" dxfId="334" priority="38">
      <formula>C$9&gt;=20/24</formula>
    </cfRule>
    <cfRule type="expression" dxfId="333" priority="39">
      <formula>AND(C$9&gt;=14/24,C$9&lt;20/24)</formula>
    </cfRule>
    <cfRule type="expression" dxfId="332" priority="40">
      <formula>AND(C$9&gt;=8/24,C$9&lt;14/24)</formula>
    </cfRule>
    <cfRule type="expression" dxfId="331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30" priority="117">
      <formula>B11&gt;$AG11*1</formula>
    </cfRule>
  </conditionalFormatting>
  <conditionalFormatting sqref="E79:I83 J80:J83 K83:O83">
    <cfRule type="expression" dxfId="329" priority="127">
      <formula>E$9&gt;=20/24</formula>
    </cfRule>
    <cfRule type="expression" dxfId="328" priority="128">
      <formula>AND(E$9&gt;=14/24,E$9&lt;20/24)</formula>
    </cfRule>
    <cfRule type="expression" dxfId="327" priority="129">
      <formula>AND(E$9&gt;=8/24,E$9&lt;14/24)</formula>
    </cfRule>
    <cfRule type="expression" dxfId="326" priority="130">
      <formula>E$9&lt;8/24</formula>
    </cfRule>
  </conditionalFormatting>
  <conditionalFormatting sqref="E84:O84">
    <cfRule type="expression" dxfId="325" priority="122">
      <formula>E$9&gt;=20/24</formula>
    </cfRule>
    <cfRule type="expression" dxfId="324" priority="123">
      <formula>AND(E$9&gt;=14/24,E$9&lt;20/24)</formula>
    </cfRule>
    <cfRule type="expression" dxfId="323" priority="124">
      <formula>AND(E$9&gt;=8/24,E$9&lt;14/24)</formula>
    </cfRule>
    <cfRule type="expression" dxfId="322" priority="125">
      <formula>E$9&lt;8/24</formula>
    </cfRule>
  </conditionalFormatting>
  <conditionalFormatting sqref="E76:AF78 B72:AF72">
    <cfRule type="expression" dxfId="321" priority="137">
      <formula>B$9&gt;=20/24</formula>
    </cfRule>
    <cfRule type="expression" dxfId="320" priority="138">
      <formula>AND(B$9&gt;=14/24,B$9&lt;20/24)</formula>
    </cfRule>
    <cfRule type="expression" dxfId="319" priority="139">
      <formula>AND(B$9&gt;=8/24,B$9&lt;14/24)</formula>
    </cfRule>
    <cfRule type="expression" dxfId="318" priority="140">
      <formula>B$9&lt;8/24</formula>
    </cfRule>
  </conditionalFormatting>
  <conditionalFormatting sqref="E73:AF75">
    <cfRule type="expression" dxfId="317" priority="47">
      <formula>E$9&gt;=20/24</formula>
    </cfRule>
    <cfRule type="expression" dxfId="316" priority="48">
      <formula>AND(E$9&gt;=14/24,E$9&lt;20/24)</formula>
    </cfRule>
    <cfRule type="expression" dxfId="315" priority="49">
      <formula>AND(E$9&gt;=8/24,E$9&lt;14/24)</formula>
    </cfRule>
    <cfRule type="expression" dxfId="314" priority="50">
      <formula>E$9&lt;8/24</formula>
    </cfRule>
  </conditionalFormatting>
  <conditionalFormatting sqref="F79:O81">
    <cfRule type="expression" dxfId="313" priority="145">
      <formula>F$9&gt;=20/24</formula>
    </cfRule>
    <cfRule type="expression" dxfId="312" priority="146">
      <formula>AND(F$9&gt;=14/24,F$9&lt;20/24)</formula>
    </cfRule>
    <cfRule type="expression" dxfId="311" priority="147">
      <formula>AND(F$9&gt;=8/24,F$9&lt;14/24)</formula>
    </cfRule>
    <cfRule type="expression" dxfId="310" priority="148">
      <formula>F$9&lt;8/24</formula>
    </cfRule>
  </conditionalFormatting>
  <conditionalFormatting sqref="L84:AF84">
    <cfRule type="expression" dxfId="309" priority="141">
      <formula>L$9&gt;=20/24</formula>
    </cfRule>
    <cfRule type="expression" dxfId="308" priority="142">
      <formula>AND(L$9&gt;=14/24,L$9&lt;20/24)</formula>
    </cfRule>
    <cfRule type="expression" dxfId="307" priority="143">
      <formula>AND(L$9&gt;=8/24,L$9&lt;14/24)</formula>
    </cfRule>
    <cfRule type="expression" dxfId="306" priority="144">
      <formula>L$9&lt;8/24</formula>
    </cfRule>
  </conditionalFormatting>
  <conditionalFormatting sqref="M8 S8 AB8">
    <cfRule type="expression" dxfId="305" priority="194">
      <formula>AND(N$9&gt;=14/24,N$9&lt;20/24)</formula>
    </cfRule>
    <cfRule type="expression" dxfId="304" priority="195">
      <formula>AND(N$9&gt;=8/24,N$9&lt;14/24)</formula>
    </cfRule>
    <cfRule type="expression" dxfId="303" priority="196">
      <formula>N$9&lt;8/24</formula>
    </cfRule>
  </conditionalFormatting>
  <conditionalFormatting sqref="M79:Y83 Z80:AA83">
    <cfRule type="expression" dxfId="302" priority="149">
      <formula>M$9&gt;=20/24</formula>
    </cfRule>
    <cfRule type="expression" dxfId="301" priority="150">
      <formula>AND(M$9&gt;=14/24,M$9&lt;20/24)</formula>
    </cfRule>
    <cfRule type="expression" dxfId="300" priority="151">
      <formula>AND(M$9&gt;=8/24,M$9&lt;14/24)</formula>
    </cfRule>
    <cfRule type="expression" dxfId="299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8" priority="193">
      <formula>N$9&gt;=20/24</formula>
    </cfRule>
  </conditionalFormatting>
  <conditionalFormatting sqref="S8">
    <cfRule type="expression" dxfId="297" priority="184">
      <formula>U$9&gt;=20/24</formula>
    </cfRule>
    <cfRule type="expression" dxfId="296" priority="185">
      <formula>AND(U$9&gt;=14/24,U$9&lt;20/24)</formula>
    </cfRule>
    <cfRule type="expression" dxfId="295" priority="186">
      <formula>AND(U$9&gt;=8/24,U$9&lt;14/24)</formula>
    </cfRule>
    <cfRule type="expression" dxfId="294" priority="187">
      <formula>U$9&lt;8/24</formula>
    </cfRule>
  </conditionalFormatting>
  <conditionalFormatting sqref="T79:AF84">
    <cfRule type="expression" dxfId="293" priority="71">
      <formula>T$9&gt;=20/24</formula>
    </cfRule>
    <cfRule type="expression" dxfId="292" priority="72">
      <formula>AND(T$9&gt;=14/24,T$9&lt;20/24)</formula>
    </cfRule>
    <cfRule type="expression" dxfId="291" priority="73">
      <formula>AND(T$9&gt;=8/24,T$9&lt;14/24)</formula>
    </cfRule>
    <cfRule type="expression" dxfId="290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9" priority="56">
      <formula>Y$9&gt;=20/24</formula>
    </cfRule>
    <cfRule type="expression" dxfId="288" priority="57">
      <formula>AND(Y$9&gt;=14/24,Y$9&lt;20/24)</formula>
    </cfRule>
    <cfRule type="expression" dxfId="287" priority="58">
      <formula>AND(Y$9&gt;=8/24,Y$9&lt;14/24)</formula>
    </cfRule>
    <cfRule type="expression" dxfId="286" priority="59">
      <formula>Y$9&lt;8/24</formula>
    </cfRule>
  </conditionalFormatting>
  <conditionalFormatting sqref="Z69:Z70">
    <cfRule type="expression" dxfId="285" priority="136">
      <formula>Z69&gt;$AG69</formula>
    </cfRule>
  </conditionalFormatting>
  <conditionalFormatting sqref="Z66:AF69 AB11:AF11 B54:AF62 B66:Y70">
    <cfRule type="expression" dxfId="284" priority="131">
      <formula>B11&gt;$AG11</formula>
    </cfRule>
  </conditionalFormatting>
  <conditionalFormatting sqref="AB8">
    <cfRule type="expression" dxfId="283" priority="180">
      <formula>AD$9&gt;=20/24</formula>
    </cfRule>
    <cfRule type="expression" dxfId="282" priority="181">
      <formula>AND(AD$9&gt;=14/24,AD$9&lt;20/24)</formula>
    </cfRule>
    <cfRule type="expression" dxfId="281" priority="182">
      <formula>AND(AD$9&gt;=8/24,AD$9&lt;14/24)</formula>
    </cfRule>
    <cfRule type="expression" dxfId="280" priority="183">
      <formula>AD$9&lt;8/24</formula>
    </cfRule>
  </conditionalFormatting>
  <conditionalFormatting sqref="AB11:AF11">
    <cfRule type="expression" dxfId="279" priority="132">
      <formula>AB$9&gt;=20/24</formula>
    </cfRule>
    <cfRule type="expression" dxfId="278" priority="133">
      <formula>AND(AB$9&gt;=14/24,AB$9&lt;20/24)</formula>
    </cfRule>
    <cfRule type="expression" dxfId="277" priority="134">
      <formula>AND(AB$9&gt;=8/24,AB$9&lt;14/24)</formula>
    </cfRule>
    <cfRule type="expression" dxfId="276" priority="135">
      <formula>AB$9&lt;8/24</formula>
    </cfRule>
  </conditionalFormatting>
  <conditionalFormatting sqref="AD79:AF79">
    <cfRule type="expression" dxfId="275" priority="207">
      <formula>AD79&gt;$AG80*1</formula>
    </cfRule>
  </conditionalFormatting>
  <conditionalFormatting sqref="AG78">
    <cfRule type="expression" dxfId="274" priority="159">
      <formula>AG$9&gt;=20/24</formula>
    </cfRule>
    <cfRule type="expression" dxfId="273" priority="160">
      <formula>AND(AG$9&gt;=14/24,AG$9&lt;20/24)</formula>
    </cfRule>
    <cfRule type="expression" dxfId="272" priority="161">
      <formula>AND(AG$9&gt;=8/24,AG$9&lt;14/24)</formula>
    </cfRule>
    <cfRule type="expression" dxfId="271" priority="162">
      <formula>AG$9&lt;8/24</formula>
    </cfRule>
  </conditionalFormatting>
  <conditionalFormatting sqref="AG91:AG92">
    <cfRule type="expression" dxfId="270" priority="154">
      <formula>AG91&gt;$AG91</formula>
    </cfRule>
  </conditionalFormatting>
  <conditionalFormatting sqref="AG96">
    <cfRule type="expression" dxfId="269" priority="155">
      <formula>AG$9&gt;=20/24</formula>
    </cfRule>
    <cfRule type="expression" dxfId="268" priority="156">
      <formula>AND(AG$9&gt;=14/24,AG$9&lt;20/24)</formula>
    </cfRule>
    <cfRule type="expression" dxfId="267" priority="157">
      <formula>AND(AG$9&gt;=8/24,AG$9&lt;14/24)</formula>
    </cfRule>
    <cfRule type="expression" dxfId="266" priority="158">
      <formula>AG$9&lt;8/24</formula>
    </cfRule>
  </conditionalFormatting>
  <conditionalFormatting sqref="AG113">
    <cfRule type="expression" dxfId="265" priority="176">
      <formula>AG$9&gt;=20/24</formula>
    </cfRule>
    <cfRule type="expression" dxfId="264" priority="177">
      <formula>AND(AG$9&gt;=14/24,AG$9&lt;20/24)</formula>
    </cfRule>
    <cfRule type="expression" dxfId="263" priority="178">
      <formula>AND(AG$9&gt;=8/24,AG$9&lt;14/24)</formula>
    </cfRule>
    <cfRule type="expression" dxfId="262" priority="179">
      <formula>AG$9&lt;8/24</formula>
    </cfRule>
  </conditionalFormatting>
  <conditionalFormatting sqref="AH8:AI10">
    <cfRule type="expression" dxfId="261" priority="67">
      <formula>AH$9&gt;=20/24</formula>
    </cfRule>
    <cfRule type="expression" dxfId="260" priority="68">
      <formula>AND(AH$9&gt;=14/24,AH$9&lt;20/24)</formula>
    </cfRule>
    <cfRule type="expression" dxfId="259" priority="69">
      <formula>AND(AH$9&gt;=8/24,AH$9&lt;14/24)</formula>
    </cfRule>
    <cfRule type="expression" dxfId="258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7" priority="197">
      <formula>AJ$9&gt;=20/24</formula>
    </cfRule>
    <cfRule type="expression" dxfId="256" priority="198">
      <formula>AND(AJ$9&gt;=14/24,AJ$9&lt;20/24)</formula>
    </cfRule>
    <cfRule type="expression" dxfId="255" priority="199">
      <formula>AND(AJ$9&gt;=8/24,AJ$9&lt;14/24)</formula>
    </cfRule>
    <cfRule type="expression" dxfId="254" priority="200">
      <formula>AJ$9&lt;8/24</formula>
    </cfRule>
  </conditionalFormatting>
  <conditionalFormatting sqref="AL99:AN99 AL105:AN105">
    <cfRule type="expression" dxfId="253" priority="169">
      <formula>AL$9&gt;=20/24</formula>
    </cfRule>
    <cfRule type="expression" dxfId="252" priority="170">
      <formula>AND(AL$9&gt;=14/24,AL$9&lt;20/24)</formula>
    </cfRule>
    <cfRule type="expression" dxfId="251" priority="171">
      <formula>AND(AL$9&gt;=8/24,AL$9&lt;14/24)</formula>
    </cfRule>
    <cfRule type="expression" dxfId="250" priority="172">
      <formula>AL$9&lt;8/24</formula>
    </cfRule>
  </conditionalFormatting>
  <conditionalFormatting sqref="AM15:AM21 AN16:AR21">
    <cfRule type="expression" dxfId="249" priority="93">
      <formula>AX$9&gt;=20/24</formula>
    </cfRule>
    <cfRule type="expression" dxfId="248" priority="94">
      <formula>AND(AX$9&gt;=14/24,AX$9&lt;20/24)</formula>
    </cfRule>
    <cfRule type="expression" dxfId="247" priority="95">
      <formula>AND(AX$9&gt;=8/24,AX$9&lt;14/24)</formula>
    </cfRule>
    <cfRule type="expression" dxfId="246" priority="96">
      <formula>AX$9&lt;8/24</formula>
    </cfRule>
  </conditionalFormatting>
  <conditionalFormatting sqref="AN100:AN103">
    <cfRule type="expression" dxfId="245" priority="165">
      <formula>AN$9&gt;=20/24</formula>
    </cfRule>
    <cfRule type="expression" dxfId="244" priority="166">
      <formula>AND(AN$9&gt;=14/24,AN$9&lt;20/24)</formula>
    </cfRule>
    <cfRule type="expression" dxfId="243" priority="167">
      <formula>AND(AN$9&gt;=8/24,AN$9&lt;14/24)</formula>
    </cfRule>
    <cfRule type="expression" dxfId="242" priority="168">
      <formula>AN$9&lt;8/24</formula>
    </cfRule>
  </conditionalFormatting>
  <conditionalFormatting sqref="AN15:AR15">
    <cfRule type="expression" dxfId="241" priority="81">
      <formula>U$9&gt;=20/24</formula>
    </cfRule>
    <cfRule type="expression" dxfId="240" priority="82">
      <formula>AND(U$9&gt;=14/24,U$9&lt;20/24)</formula>
    </cfRule>
    <cfRule type="expression" dxfId="239" priority="83">
      <formula>AND(U$9&gt;=8/24,U$9&lt;14/24)</formula>
    </cfRule>
    <cfRule type="expression" dxfId="238" priority="84">
      <formula>U$9&lt;8/24</formula>
    </cfRule>
  </conditionalFormatting>
  <conditionalFormatting sqref="AS15">
    <cfRule type="expression" dxfId="237" priority="89">
      <formula>AA$9&gt;=20/24</formula>
    </cfRule>
    <cfRule type="expression" dxfId="236" priority="90">
      <formula>AND(AA$9&gt;=14/24,AA$9&lt;20/24)</formula>
    </cfRule>
    <cfRule type="expression" dxfId="235" priority="91">
      <formula>AND(AA$9&gt;=8/24,AA$9&lt;14/24)</formula>
    </cfRule>
    <cfRule type="expression" dxfId="234" priority="92">
      <formula>AA$9&lt;8/24</formula>
    </cfRule>
  </conditionalFormatting>
  <conditionalFormatting sqref="AS16:AS21">
    <cfRule type="expression" dxfId="233" priority="97">
      <formula>BE$9&gt;=20/24</formula>
    </cfRule>
    <cfRule type="expression" dxfId="232" priority="98">
      <formula>AND(BE$9&gt;=14/24,BE$9&lt;20/24)</formula>
    </cfRule>
    <cfRule type="expression" dxfId="231" priority="99">
      <formula>AND(BE$9&gt;=8/24,BE$9&lt;14/24)</formula>
    </cfRule>
    <cfRule type="expression" dxfId="230" priority="100">
      <formula>BE$9&lt;8/24</formula>
    </cfRule>
  </conditionalFormatting>
  <conditionalFormatting sqref="AT15 AX15:BJ15">
    <cfRule type="expression" dxfId="229" priority="101">
      <formula>AC$9&gt;=20/24</formula>
    </cfRule>
    <cfRule type="expression" dxfId="228" priority="102">
      <formula>AND(AC$9&gt;=14/24,AC$9&lt;20/24)</formula>
    </cfRule>
    <cfRule type="expression" dxfId="227" priority="103">
      <formula>AND(AC$9&gt;=8/24,AC$9&lt;14/24)</formula>
    </cfRule>
    <cfRule type="expression" dxfId="226" priority="104">
      <formula>AC$9&lt;8/24</formula>
    </cfRule>
  </conditionalFormatting>
  <conditionalFormatting sqref="AT16:AT21">
    <cfRule type="expression" dxfId="225" priority="105">
      <formula>BG$9&gt;=20/24</formula>
    </cfRule>
    <cfRule type="expression" dxfId="224" priority="106">
      <formula>AND(BG$9&gt;=14/24,BG$9&lt;20/24)</formula>
    </cfRule>
    <cfRule type="expression" dxfId="223" priority="107">
      <formula>AND(BG$9&gt;=8/24,BG$9&lt;14/24)</formula>
    </cfRule>
    <cfRule type="expression" dxfId="222" priority="108">
      <formula>BG$9&lt;8/24</formula>
    </cfRule>
  </conditionalFormatting>
  <conditionalFormatting sqref="AU15:AV15">
    <cfRule type="expression" dxfId="221" priority="109">
      <formula>AE$9&gt;=20/24</formula>
    </cfRule>
    <cfRule type="expression" dxfId="220" priority="110">
      <formula>AND(AE$9&gt;=14/24,AE$9&lt;20/24)</formula>
    </cfRule>
    <cfRule type="expression" dxfId="219" priority="111">
      <formula>AND(AE$9&gt;=8/24,AE$9&lt;14/24)</formula>
    </cfRule>
    <cfRule type="expression" dxfId="218" priority="112">
      <formula>AE$9&lt;8/24</formula>
    </cfRule>
  </conditionalFormatting>
  <conditionalFormatting sqref="AU16:BJ21">
    <cfRule type="expression" dxfId="217" priority="113">
      <formula>BI$9&gt;=20/24</formula>
    </cfRule>
    <cfRule type="expression" dxfId="216" priority="114">
      <formula>AND(BI$9&gt;=14/24,BI$9&lt;20/24)</formula>
    </cfRule>
    <cfRule type="expression" dxfId="215" priority="115">
      <formula>AND(BI$9&gt;=8/24,BI$9&lt;14/24)</formula>
    </cfRule>
    <cfRule type="expression" dxfId="214" priority="116">
      <formula>BI$9&lt;8/24</formula>
    </cfRule>
  </conditionalFormatting>
  <conditionalFormatting sqref="AW15">
    <cfRule type="expression" dxfId="213" priority="85">
      <formula>B$9&gt;=20/24</formula>
    </cfRule>
    <cfRule type="expression" dxfId="212" priority="86">
      <formula>AND(B$9&gt;=14/24,B$9&lt;20/24)</formula>
    </cfRule>
    <cfRule type="expression" dxfId="211" priority="87">
      <formula>AND(B$9&gt;=8/24,B$9&lt;14/24)</formula>
    </cfRule>
    <cfRule type="expression" dxfId="210" priority="88">
      <formula>B$9&lt;8/24</formula>
    </cfRule>
  </conditionalFormatting>
  <conditionalFormatting sqref="A73">
    <cfRule type="expression" dxfId="209" priority="36">
      <formula>$AH73=0</formula>
    </cfRule>
  </conditionalFormatting>
  <conditionalFormatting sqref="B11:B13 B97:B107 B137:B152 B109:B112 B125:B134 B154:B159">
    <cfRule type="expression" dxfId="208" priority="30">
      <formula>B$9&gt;=20/24</formula>
    </cfRule>
  </conditionalFormatting>
  <conditionalFormatting sqref="B11:B13 B97:B107 B137:B152 B109:B112 B125:B134 B154:B159">
    <cfRule type="expression" dxfId="207" priority="31">
      <formula>AND(B$9&gt;=14/24,B$9&lt;20/24)</formula>
    </cfRule>
    <cfRule type="expression" dxfId="206" priority="32">
      <formula>AND(B$9&gt;=8/24,B$9&lt;14/24)</formula>
    </cfRule>
    <cfRule type="expression" dxfId="205" priority="33">
      <formula>B$9&lt;8/24</formula>
    </cfRule>
  </conditionalFormatting>
  <conditionalFormatting sqref="B14:B28">
    <cfRule type="expression" dxfId="204" priority="20">
      <formula>B14&gt;$AG14*1</formula>
    </cfRule>
    <cfRule type="expression" dxfId="203" priority="21">
      <formula>B$9&gt;=20/24</formula>
    </cfRule>
    <cfRule type="expression" dxfId="202" priority="22">
      <formula>AND(B$9&gt;=14/24,B$9&lt;20/24)</formula>
    </cfRule>
    <cfRule type="expression" dxfId="201" priority="23">
      <formula>AND(B$9&gt;=8/24,B$9&lt;14/24)</formula>
    </cfRule>
    <cfRule type="expression" dxfId="200" priority="24">
      <formula>B$9&lt;8/24</formula>
    </cfRule>
  </conditionalFormatting>
  <conditionalFormatting sqref="B161:B167">
    <cfRule type="expression" dxfId="199" priority="25">
      <formula>B$9&gt;=20/24</formula>
    </cfRule>
    <cfRule type="expression" dxfId="198" priority="26">
      <formula>AND(B$9&gt;=14/24,B$9&lt;20/24)</formula>
    </cfRule>
    <cfRule type="expression" dxfId="197" priority="27">
      <formula>AND(B$9&gt;=8/24,B$9&lt;14/24)</formula>
    </cfRule>
    <cfRule type="expression" dxfId="196" priority="28">
      <formula>B$9&lt;8/24</formula>
    </cfRule>
  </conditionalFormatting>
  <conditionalFormatting sqref="B169:B274">
    <cfRule type="expression" dxfId="195" priority="6">
      <formula>B$9&gt;=20/24</formula>
    </cfRule>
    <cfRule type="expression" dxfId="194" priority="7">
      <formula>AND(B$9&gt;=14/24,B$9&lt;20/24)</formula>
    </cfRule>
    <cfRule type="expression" dxfId="193" priority="8">
      <formula>AND(B$9&gt;=8/24,B$9&lt;14/24)</formula>
    </cfRule>
    <cfRule type="expression" dxfId="192" priority="9">
      <formula>B$9&lt;8/24</formula>
    </cfRule>
  </conditionalFormatting>
  <conditionalFormatting sqref="B11:B13">
    <cfRule type="expression" dxfId="191" priority="29">
      <formula>B11&gt;$AG11*1</formula>
    </cfRule>
  </conditionalFormatting>
  <conditionalFormatting sqref="A153">
    <cfRule type="expression" dxfId="19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9" priority="1">
      <formula>AL$9&gt;=20/24</formula>
    </cfRule>
  </conditionalFormatting>
  <conditionalFormatting sqref="AL153">
    <cfRule type="expression" dxfId="188" priority="2">
      <formula>AND(AL$9&gt;=14/24,AL$9&lt;20/24)</formula>
    </cfRule>
    <cfRule type="expression" dxfId="187" priority="3">
      <formula>AND(AL$9&gt;=8/24,AL$9&lt;14/24)</formula>
    </cfRule>
    <cfRule type="expression" dxfId="18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tabSelected="1"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G17" sqref="AG16:AG17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>
        <v>-65</v>
      </c>
      <c r="D3" s="246">
        <v>-67</v>
      </c>
      <c r="E3" s="246">
        <v>-51</v>
      </c>
      <c r="F3" s="246"/>
      <c r="G3" s="246"/>
      <c r="H3" s="246"/>
      <c r="I3" s="246"/>
      <c r="J3" s="246"/>
      <c r="K3" s="246"/>
      <c r="L3" s="246">
        <v>-34.9</v>
      </c>
      <c r="M3" s="246"/>
      <c r="N3" s="246"/>
      <c r="O3" s="246"/>
      <c r="P3" s="246">
        <v>-80</v>
      </c>
      <c r="Q3" s="246"/>
      <c r="R3" s="246"/>
      <c r="S3" s="246">
        <v>-75</v>
      </c>
      <c r="T3" s="246"/>
      <c r="U3" s="246">
        <f>SUM(B3:T3)</f>
        <v>-372.9</v>
      </c>
      <c r="V3" s="246"/>
      <c r="W3" s="245">
        <v>24</v>
      </c>
      <c r="X3" s="245">
        <v>-140</v>
      </c>
      <c r="Y3" s="237">
        <f>SUM(U3:X3)</f>
        <v>-488.9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>
        <v>-65</v>
      </c>
      <c r="D4" s="246">
        <v>-67</v>
      </c>
      <c r="E4" s="246">
        <v>-51</v>
      </c>
      <c r="F4" s="246"/>
      <c r="G4" s="246"/>
      <c r="H4" s="246"/>
      <c r="I4" s="246"/>
      <c r="J4" s="246"/>
      <c r="K4" s="246"/>
      <c r="L4" s="246">
        <v>-34.9</v>
      </c>
      <c r="M4" s="246"/>
      <c r="N4" s="246"/>
      <c r="O4" s="246"/>
      <c r="P4" s="246">
        <v>-80</v>
      </c>
      <c r="Q4" s="246"/>
      <c r="R4" s="246"/>
      <c r="S4" s="246">
        <v>-75</v>
      </c>
      <c r="T4" s="246"/>
      <c r="U4" s="246">
        <f>SUM(B4:T4)</f>
        <v>-372.9</v>
      </c>
      <c r="V4" s="246"/>
      <c r="W4" s="245">
        <v>24</v>
      </c>
      <c r="X4" s="245">
        <v>-140</v>
      </c>
      <c r="Y4" s="237">
        <f t="shared" ref="Y4:Y67" si="0">SUM(U4:X4)</f>
        <v>-488.9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>
        <v>-65</v>
      </c>
      <c r="D5" s="246">
        <v>-67</v>
      </c>
      <c r="E5" s="246">
        <v>-51</v>
      </c>
      <c r="F5" s="246"/>
      <c r="G5" s="246"/>
      <c r="H5" s="246"/>
      <c r="I5" s="246"/>
      <c r="J5" s="246"/>
      <c r="K5" s="246"/>
      <c r="L5" s="246">
        <v>-34.9</v>
      </c>
      <c r="M5" s="246"/>
      <c r="N5" s="246"/>
      <c r="O5" s="246"/>
      <c r="P5" s="246">
        <v>-80</v>
      </c>
      <c r="Q5" s="246"/>
      <c r="R5" s="246"/>
      <c r="S5" s="246">
        <v>-75</v>
      </c>
      <c r="T5" s="246"/>
      <c r="U5" s="246">
        <f>SUM(B5:T5)</f>
        <v>-372.9</v>
      </c>
      <c r="V5" s="246"/>
      <c r="W5" s="245">
        <v>24</v>
      </c>
      <c r="X5" s="245">
        <v>-140</v>
      </c>
      <c r="Y5" s="237">
        <f t="shared" si="0"/>
        <v>-488.9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>
        <v>-65</v>
      </c>
      <c r="D6" s="246">
        <v>-67</v>
      </c>
      <c r="E6" s="246">
        <v>-51</v>
      </c>
      <c r="F6" s="246"/>
      <c r="G6" s="246"/>
      <c r="H6" s="246"/>
      <c r="I6" s="246"/>
      <c r="J6" s="246"/>
      <c r="K6" s="246"/>
      <c r="L6" s="246">
        <v>-34.9</v>
      </c>
      <c r="M6" s="246"/>
      <c r="N6" s="246"/>
      <c r="O6" s="246"/>
      <c r="P6" s="246">
        <v>-80</v>
      </c>
      <c r="Q6" s="246"/>
      <c r="R6" s="246"/>
      <c r="S6" s="246">
        <v>-75</v>
      </c>
      <c r="T6" s="246"/>
      <c r="U6" s="246">
        <f>SUM(B6:T6)</f>
        <v>-372.9</v>
      </c>
      <c r="V6" s="246"/>
      <c r="W6" s="245">
        <v>24</v>
      </c>
      <c r="X6" s="245">
        <v>-140</v>
      </c>
      <c r="Y6" s="237">
        <f t="shared" si="0"/>
        <v>-488.9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>
        <v>-65</v>
      </c>
      <c r="D7" s="246">
        <v>-67</v>
      </c>
      <c r="E7" s="246">
        <v>-51</v>
      </c>
      <c r="F7" s="246"/>
      <c r="G7" s="246"/>
      <c r="H7" s="246"/>
      <c r="I7" s="246"/>
      <c r="J7" s="246"/>
      <c r="K7" s="246"/>
      <c r="L7" s="246">
        <v>-34.9</v>
      </c>
      <c r="M7" s="246"/>
      <c r="N7" s="246"/>
      <c r="O7" s="246"/>
      <c r="P7" s="246">
        <v>-80</v>
      </c>
      <c r="Q7" s="246"/>
      <c r="R7" s="246"/>
      <c r="S7" s="246">
        <v>-75</v>
      </c>
      <c r="T7" s="246"/>
      <c r="U7" s="246">
        <f>SUM(B7:T7)</f>
        <v>-372.9</v>
      </c>
      <c r="V7" s="246"/>
      <c r="W7" s="245">
        <v>24</v>
      </c>
      <c r="X7" s="245">
        <v>-140</v>
      </c>
      <c r="Y7" s="237">
        <f t="shared" si="0"/>
        <v>-488.9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>
        <v>-65</v>
      </c>
      <c r="D8" s="246">
        <v>-67</v>
      </c>
      <c r="E8" s="246">
        <v>-51</v>
      </c>
      <c r="F8" s="246"/>
      <c r="G8" s="246"/>
      <c r="H8" s="246"/>
      <c r="I8" s="246"/>
      <c r="J8" s="246"/>
      <c r="K8" s="246"/>
      <c r="L8" s="246">
        <v>-34.9</v>
      </c>
      <c r="M8" s="246"/>
      <c r="N8" s="246"/>
      <c r="O8" s="246"/>
      <c r="P8" s="246">
        <v>-80</v>
      </c>
      <c r="Q8" s="246"/>
      <c r="R8" s="246"/>
      <c r="S8" s="246">
        <v>-75</v>
      </c>
      <c r="T8" s="246"/>
      <c r="U8" s="246">
        <f>SUM(B8:T8)</f>
        <v>-372.9</v>
      </c>
      <c r="V8" s="246"/>
      <c r="W8" s="245">
        <v>24</v>
      </c>
      <c r="X8" s="245">
        <v>-140</v>
      </c>
      <c r="Y8" s="237">
        <f t="shared" si="0"/>
        <v>-488.9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>
        <v>-65</v>
      </c>
      <c r="D9" s="246">
        <v>-67</v>
      </c>
      <c r="E9" s="246">
        <v>-51</v>
      </c>
      <c r="F9" s="246"/>
      <c r="G9" s="246"/>
      <c r="H9" s="246"/>
      <c r="I9" s="246"/>
      <c r="J9" s="246"/>
      <c r="K9" s="246"/>
      <c r="L9" s="246">
        <v>-34.9</v>
      </c>
      <c r="M9" s="246"/>
      <c r="N9" s="246"/>
      <c r="O9" s="246"/>
      <c r="P9" s="246">
        <v>-80</v>
      </c>
      <c r="Q9" s="246"/>
      <c r="R9" s="246"/>
      <c r="S9" s="246">
        <v>-75</v>
      </c>
      <c r="T9" s="246"/>
      <c r="U9" s="246">
        <f>SUM(B9:T9)</f>
        <v>-372.9</v>
      </c>
      <c r="V9" s="246"/>
      <c r="W9" s="245">
        <v>24</v>
      </c>
      <c r="X9" s="245">
        <v>-140</v>
      </c>
      <c r="Y9" s="237">
        <f t="shared" si="0"/>
        <v>-488.9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>
        <v>-65</v>
      </c>
      <c r="D10" s="246">
        <v>-67</v>
      </c>
      <c r="E10" s="246">
        <v>-51</v>
      </c>
      <c r="F10" s="246"/>
      <c r="G10" s="246"/>
      <c r="H10" s="246"/>
      <c r="I10" s="246"/>
      <c r="J10" s="246"/>
      <c r="K10" s="246"/>
      <c r="L10" s="246">
        <v>-34.9</v>
      </c>
      <c r="M10" s="246"/>
      <c r="N10" s="246"/>
      <c r="O10" s="246"/>
      <c r="P10" s="246">
        <v>-80</v>
      </c>
      <c r="Q10" s="246"/>
      <c r="R10" s="246"/>
      <c r="S10" s="246">
        <v>-75</v>
      </c>
      <c r="T10" s="246"/>
      <c r="U10" s="246">
        <f>SUM(B10:T10)</f>
        <v>-372.9</v>
      </c>
      <c r="V10" s="246"/>
      <c r="W10" s="245">
        <v>24</v>
      </c>
      <c r="X10" s="245">
        <v>-140</v>
      </c>
      <c r="Y10" s="237">
        <f t="shared" si="0"/>
        <v>-488.9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>
        <v>-65</v>
      </c>
      <c r="D11" s="246">
        <v>-67</v>
      </c>
      <c r="E11" s="246">
        <v>-51</v>
      </c>
      <c r="F11" s="246"/>
      <c r="G11" s="246"/>
      <c r="H11" s="246"/>
      <c r="I11" s="246"/>
      <c r="J11" s="246"/>
      <c r="K11" s="246"/>
      <c r="L11" s="246">
        <v>-34.9</v>
      </c>
      <c r="M11" s="246"/>
      <c r="N11" s="246"/>
      <c r="O11" s="246"/>
      <c r="P11" s="246">
        <v>-80</v>
      </c>
      <c r="Q11" s="246"/>
      <c r="R11" s="246"/>
      <c r="S11" s="246">
        <v>-75</v>
      </c>
      <c r="T11" s="246"/>
      <c r="U11" s="246">
        <f>SUM(B11:T11)</f>
        <v>-372.9</v>
      </c>
      <c r="V11" s="246"/>
      <c r="W11" s="245">
        <v>24</v>
      </c>
      <c r="X11" s="245">
        <v>-140</v>
      </c>
      <c r="Y11" s="237">
        <f t="shared" si="0"/>
        <v>-488.9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>
        <v>-65</v>
      </c>
      <c r="D12" s="246">
        <v>-67</v>
      </c>
      <c r="E12" s="246">
        <v>-51</v>
      </c>
      <c r="F12" s="246"/>
      <c r="G12" s="246"/>
      <c r="H12" s="246"/>
      <c r="I12" s="246"/>
      <c r="J12" s="246"/>
      <c r="K12" s="246"/>
      <c r="L12" s="246">
        <v>-34.9</v>
      </c>
      <c r="M12" s="246"/>
      <c r="N12" s="246"/>
      <c r="O12" s="246"/>
      <c r="P12" s="246">
        <v>-80</v>
      </c>
      <c r="Q12" s="246"/>
      <c r="R12" s="246"/>
      <c r="S12" s="246">
        <v>-75</v>
      </c>
      <c r="T12" s="246"/>
      <c r="U12" s="246">
        <f>SUM(B12:T12)</f>
        <v>-372.9</v>
      </c>
      <c r="V12" s="246"/>
      <c r="W12" s="245">
        <v>24</v>
      </c>
      <c r="X12" s="245">
        <v>-140</v>
      </c>
      <c r="Y12" s="237">
        <f t="shared" si="0"/>
        <v>-488.9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>
        <v>-65</v>
      </c>
      <c r="D13" s="246">
        <v>-67</v>
      </c>
      <c r="E13" s="246">
        <v>-51</v>
      </c>
      <c r="F13" s="246"/>
      <c r="G13" s="246"/>
      <c r="H13" s="246"/>
      <c r="I13" s="246"/>
      <c r="J13" s="246"/>
      <c r="K13" s="246"/>
      <c r="L13" s="246">
        <v>-34.9</v>
      </c>
      <c r="M13" s="246"/>
      <c r="N13" s="246"/>
      <c r="O13" s="246"/>
      <c r="P13" s="246">
        <v>-80</v>
      </c>
      <c r="Q13" s="246"/>
      <c r="R13" s="246"/>
      <c r="S13" s="246">
        <v>-75</v>
      </c>
      <c r="T13" s="246"/>
      <c r="U13" s="246">
        <f>SUM(B13:T13)</f>
        <v>-372.9</v>
      </c>
      <c r="V13" s="246"/>
      <c r="W13" s="245">
        <v>24</v>
      </c>
      <c r="X13" s="245">
        <v>-140</v>
      </c>
      <c r="Y13" s="237">
        <f t="shared" si="0"/>
        <v>-488.9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>
        <v>-65</v>
      </c>
      <c r="D14" s="246">
        <v>-67</v>
      </c>
      <c r="E14" s="246">
        <v>-51</v>
      </c>
      <c r="F14" s="246"/>
      <c r="G14" s="246"/>
      <c r="H14" s="246"/>
      <c r="I14" s="246"/>
      <c r="J14" s="246"/>
      <c r="K14" s="246"/>
      <c r="L14" s="246">
        <v>-34.9</v>
      </c>
      <c r="M14" s="246"/>
      <c r="N14" s="246"/>
      <c r="O14" s="246"/>
      <c r="P14" s="246">
        <v>-80</v>
      </c>
      <c r="Q14" s="246"/>
      <c r="R14" s="246"/>
      <c r="S14" s="246">
        <v>-75</v>
      </c>
      <c r="T14" s="246"/>
      <c r="U14" s="246">
        <f>SUM(B14:T14)</f>
        <v>-372.9</v>
      </c>
      <c r="V14" s="246"/>
      <c r="W14" s="245">
        <v>24</v>
      </c>
      <c r="X14" s="245">
        <v>-140</v>
      </c>
      <c r="Y14" s="237">
        <f t="shared" si="0"/>
        <v>-488.9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>
        <v>-65</v>
      </c>
      <c r="D15" s="246">
        <v>-67</v>
      </c>
      <c r="E15" s="246">
        <v>-51</v>
      </c>
      <c r="F15" s="246"/>
      <c r="G15" s="246"/>
      <c r="H15" s="246"/>
      <c r="I15" s="246"/>
      <c r="J15" s="246"/>
      <c r="K15" s="246"/>
      <c r="L15" s="246">
        <v>-34.9</v>
      </c>
      <c r="M15" s="246"/>
      <c r="N15" s="246"/>
      <c r="O15" s="246"/>
      <c r="P15" s="246">
        <v>-80</v>
      </c>
      <c r="Q15" s="246"/>
      <c r="R15" s="246"/>
      <c r="S15" s="246">
        <v>-75</v>
      </c>
      <c r="T15" s="246"/>
      <c r="U15" s="246">
        <f>SUM(B15:T15)</f>
        <v>-372.9</v>
      </c>
      <c r="V15" s="246"/>
      <c r="W15" s="245">
        <v>24</v>
      </c>
      <c r="X15" s="245">
        <v>-140</v>
      </c>
      <c r="Y15" s="237">
        <f t="shared" si="0"/>
        <v>-488.9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>
        <v>-65</v>
      </c>
      <c r="D16" s="246">
        <v>-67</v>
      </c>
      <c r="E16" s="246">
        <v>-51</v>
      </c>
      <c r="F16" s="246"/>
      <c r="G16" s="246"/>
      <c r="H16" s="246"/>
      <c r="I16" s="246"/>
      <c r="J16" s="246"/>
      <c r="K16" s="246"/>
      <c r="L16" s="246">
        <v>-34.9</v>
      </c>
      <c r="M16" s="246"/>
      <c r="N16" s="246"/>
      <c r="O16" s="246"/>
      <c r="P16" s="246">
        <v>-80</v>
      </c>
      <c r="Q16" s="246"/>
      <c r="R16" s="246"/>
      <c r="S16" s="246">
        <v>-75</v>
      </c>
      <c r="T16" s="246"/>
      <c r="U16" s="246">
        <f>SUM(B16:T16)</f>
        <v>-372.9</v>
      </c>
      <c r="V16" s="246"/>
      <c r="W16" s="245">
        <v>24</v>
      </c>
      <c r="X16" s="245">
        <v>-140</v>
      </c>
      <c r="Y16" s="237">
        <f t="shared" si="0"/>
        <v>-488.9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>
        <v>-65</v>
      </c>
      <c r="D17" s="246">
        <v>-67</v>
      </c>
      <c r="E17" s="246">
        <v>-51</v>
      </c>
      <c r="F17" s="246"/>
      <c r="G17" s="246"/>
      <c r="H17" s="246"/>
      <c r="I17" s="246"/>
      <c r="J17" s="246"/>
      <c r="K17" s="246"/>
      <c r="L17" s="246">
        <v>-34.9</v>
      </c>
      <c r="M17" s="246"/>
      <c r="N17" s="246"/>
      <c r="O17" s="246"/>
      <c r="P17" s="246">
        <v>-80</v>
      </c>
      <c r="Q17" s="246"/>
      <c r="R17" s="246"/>
      <c r="S17" s="246">
        <v>-75</v>
      </c>
      <c r="T17" s="246"/>
      <c r="U17" s="246">
        <f>SUM(B17:T17)</f>
        <v>-372.9</v>
      </c>
      <c r="V17" s="246"/>
      <c r="W17" s="245">
        <v>24</v>
      </c>
      <c r="X17" s="245">
        <v>-140</v>
      </c>
      <c r="Y17" s="237">
        <f t="shared" si="0"/>
        <v>-488.9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>
        <v>-65</v>
      </c>
      <c r="D18" s="246">
        <v>-67</v>
      </c>
      <c r="E18" s="246">
        <v>-51</v>
      </c>
      <c r="F18" s="246"/>
      <c r="G18" s="246"/>
      <c r="H18" s="246"/>
      <c r="I18" s="246"/>
      <c r="J18" s="246"/>
      <c r="K18" s="246"/>
      <c r="L18" s="246">
        <v>-34.9</v>
      </c>
      <c r="M18" s="246"/>
      <c r="N18" s="246"/>
      <c r="O18" s="246"/>
      <c r="P18" s="246">
        <v>-80</v>
      </c>
      <c r="Q18" s="246"/>
      <c r="R18" s="246"/>
      <c r="S18" s="246">
        <v>-75</v>
      </c>
      <c r="T18" s="246"/>
      <c r="U18" s="246">
        <f>SUM(B18:T18)</f>
        <v>-372.9</v>
      </c>
      <c r="V18" s="246"/>
      <c r="W18" s="245">
        <v>24</v>
      </c>
      <c r="X18" s="245">
        <v>-140</v>
      </c>
      <c r="Y18" s="237">
        <f t="shared" si="0"/>
        <v>-488.9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>
        <v>-65</v>
      </c>
      <c r="D19" s="246">
        <v>-67</v>
      </c>
      <c r="E19" s="246">
        <v>-51</v>
      </c>
      <c r="F19" s="246"/>
      <c r="G19" s="246"/>
      <c r="H19" s="246"/>
      <c r="I19" s="246"/>
      <c r="J19" s="246"/>
      <c r="K19" s="246"/>
      <c r="L19" s="246">
        <v>-34.9</v>
      </c>
      <c r="M19" s="246"/>
      <c r="N19" s="246"/>
      <c r="O19" s="246"/>
      <c r="P19" s="246">
        <v>-80</v>
      </c>
      <c r="Q19" s="246"/>
      <c r="R19" s="246"/>
      <c r="S19" s="246">
        <v>-75</v>
      </c>
      <c r="T19" s="246"/>
      <c r="U19" s="246">
        <f>SUM(B19:T19)</f>
        <v>-372.9</v>
      </c>
      <c r="V19" s="246"/>
      <c r="W19" s="245">
        <v>24</v>
      </c>
      <c r="X19" s="245">
        <v>-140</v>
      </c>
      <c r="Y19" s="237">
        <f t="shared" si="0"/>
        <v>-488.9</v>
      </c>
      <c r="Z19" s="252"/>
      <c r="AA19" s="239"/>
      <c r="AB19" s="240"/>
    </row>
    <row r="20" spans="1:28" x14ac:dyDescent="0.25">
      <c r="A20" s="245" t="s">
        <v>318</v>
      </c>
      <c r="B20" s="246"/>
      <c r="C20" s="246">
        <v>-65</v>
      </c>
      <c r="D20" s="246">
        <v>-67</v>
      </c>
      <c r="E20" s="246">
        <v>-51</v>
      </c>
      <c r="F20" s="246"/>
      <c r="G20" s="246"/>
      <c r="H20" s="246"/>
      <c r="I20" s="246"/>
      <c r="J20" s="246"/>
      <c r="K20" s="246"/>
      <c r="L20" s="246">
        <v>-34.9</v>
      </c>
      <c r="M20" s="246"/>
      <c r="N20" s="246"/>
      <c r="O20" s="246"/>
      <c r="P20" s="246">
        <v>-80</v>
      </c>
      <c r="Q20" s="246"/>
      <c r="R20" s="246"/>
      <c r="S20" s="246">
        <v>-75</v>
      </c>
      <c r="T20" s="246"/>
      <c r="U20" s="246">
        <f>SUM(B20:T20)</f>
        <v>-372.9</v>
      </c>
      <c r="V20" s="246"/>
      <c r="W20" s="245">
        <v>24</v>
      </c>
      <c r="X20" s="245">
        <v>-140</v>
      </c>
      <c r="Y20" s="237">
        <f t="shared" si="0"/>
        <v>-488.9</v>
      </c>
      <c r="Z20" s="252"/>
      <c r="AA20" s="239"/>
      <c r="AB20" s="240"/>
    </row>
    <row r="21" spans="1:28" x14ac:dyDescent="0.25">
      <c r="A21" s="245" t="s">
        <v>319</v>
      </c>
      <c r="B21" s="246"/>
      <c r="C21" s="246">
        <v>-65</v>
      </c>
      <c r="D21" s="246">
        <v>-67</v>
      </c>
      <c r="E21" s="246">
        <v>-51</v>
      </c>
      <c r="F21" s="246"/>
      <c r="G21" s="246"/>
      <c r="H21" s="246"/>
      <c r="I21" s="246"/>
      <c r="J21" s="246"/>
      <c r="K21" s="246"/>
      <c r="L21" s="246">
        <v>-34.9</v>
      </c>
      <c r="M21" s="246"/>
      <c r="N21" s="246"/>
      <c r="O21" s="246"/>
      <c r="P21" s="246">
        <v>-80</v>
      </c>
      <c r="Q21" s="246"/>
      <c r="R21" s="246"/>
      <c r="S21" s="246">
        <v>-75</v>
      </c>
      <c r="T21" s="246"/>
      <c r="U21" s="246">
        <f>SUM(B21:T21)</f>
        <v>-372.9</v>
      </c>
      <c r="V21" s="246"/>
      <c r="W21" s="245">
        <v>24</v>
      </c>
      <c r="X21" s="245">
        <v>-140</v>
      </c>
      <c r="Y21" s="237">
        <f t="shared" si="0"/>
        <v>-488.9</v>
      </c>
      <c r="Z21" s="252"/>
      <c r="AA21" s="239"/>
      <c r="AB21" s="240"/>
    </row>
    <row r="22" spans="1:28" x14ac:dyDescent="0.25">
      <c r="A22" s="245" t="s">
        <v>320</v>
      </c>
      <c r="B22" s="246"/>
      <c r="C22" s="246">
        <v>-65</v>
      </c>
      <c r="D22" s="246">
        <v>-67</v>
      </c>
      <c r="E22" s="246">
        <v>-51</v>
      </c>
      <c r="F22" s="246"/>
      <c r="G22" s="246"/>
      <c r="H22" s="246"/>
      <c r="I22" s="246"/>
      <c r="J22" s="246"/>
      <c r="K22" s="246"/>
      <c r="L22" s="246">
        <v>-34.9</v>
      </c>
      <c r="M22" s="246"/>
      <c r="N22" s="246"/>
      <c r="O22" s="246"/>
      <c r="P22" s="246">
        <v>-80</v>
      </c>
      <c r="Q22" s="246"/>
      <c r="R22" s="246"/>
      <c r="S22" s="246">
        <v>-75</v>
      </c>
      <c r="T22" s="246"/>
      <c r="U22" s="246">
        <f>SUM(B22:T22)</f>
        <v>-372.9</v>
      </c>
      <c r="V22" s="246"/>
      <c r="W22" s="245">
        <v>24</v>
      </c>
      <c r="X22" s="245">
        <v>-140</v>
      </c>
      <c r="Y22" s="237">
        <f t="shared" si="0"/>
        <v>-488.9</v>
      </c>
      <c r="Z22" s="252"/>
      <c r="AA22" s="239"/>
      <c r="AB22" s="240"/>
    </row>
    <row r="23" spans="1:28" x14ac:dyDescent="0.25">
      <c r="A23" s="245" t="s">
        <v>321</v>
      </c>
      <c r="B23" s="246">
        <v>-140</v>
      </c>
      <c r="C23" s="246">
        <v>-65</v>
      </c>
      <c r="D23" s="246">
        <v>-67</v>
      </c>
      <c r="E23" s="246">
        <v>-51</v>
      </c>
      <c r="F23" s="246"/>
      <c r="G23" s="246"/>
      <c r="H23" s="246"/>
      <c r="I23" s="246"/>
      <c r="J23" s="246"/>
      <c r="K23" s="246"/>
      <c r="L23" s="246">
        <v>-34.9</v>
      </c>
      <c r="M23" s="246"/>
      <c r="N23" s="246"/>
      <c r="O23" s="246"/>
      <c r="P23" s="246">
        <v>-80</v>
      </c>
      <c r="Q23" s="246"/>
      <c r="R23" s="246"/>
      <c r="S23" s="246">
        <v>-75</v>
      </c>
      <c r="T23" s="246"/>
      <c r="U23" s="246">
        <f>SUM(B23:T23)</f>
        <v>-512.9</v>
      </c>
      <c r="V23" s="246"/>
      <c r="W23" s="245">
        <v>40</v>
      </c>
      <c r="X23" s="245">
        <v>0</v>
      </c>
      <c r="Y23" s="237">
        <f>SUM(U23:X23)</f>
        <v>-472.9</v>
      </c>
      <c r="Z23" s="252"/>
      <c r="AA23" s="239"/>
      <c r="AB23" s="240"/>
    </row>
    <row r="24" spans="1:28" x14ac:dyDescent="0.25">
      <c r="A24" s="245" t="s">
        <v>322</v>
      </c>
      <c r="B24" s="246">
        <v>-140</v>
      </c>
      <c r="C24" s="246">
        <v>-65</v>
      </c>
      <c r="D24" s="246">
        <v>-67</v>
      </c>
      <c r="E24" s="246">
        <v>-51</v>
      </c>
      <c r="F24" s="246"/>
      <c r="G24" s="246"/>
      <c r="H24" s="246"/>
      <c r="I24" s="246"/>
      <c r="J24" s="246"/>
      <c r="K24" s="246"/>
      <c r="L24" s="246">
        <v>-34.9</v>
      </c>
      <c r="M24" s="246"/>
      <c r="N24" s="246"/>
      <c r="O24" s="246"/>
      <c r="P24" s="246">
        <v>-80</v>
      </c>
      <c r="Q24" s="246"/>
      <c r="R24" s="246"/>
      <c r="S24" s="246">
        <v>-75</v>
      </c>
      <c r="T24" s="246"/>
      <c r="U24" s="246">
        <f>SUM(B24:T24)</f>
        <v>-512.9</v>
      </c>
      <c r="V24" s="246"/>
      <c r="W24" s="245">
        <v>40</v>
      </c>
      <c r="X24" s="245">
        <v>0</v>
      </c>
      <c r="Y24" s="237">
        <f t="shared" si="0"/>
        <v>-472.9</v>
      </c>
      <c r="Z24" s="252"/>
      <c r="AA24" s="239"/>
      <c r="AB24" s="240"/>
    </row>
    <row r="25" spans="1:28" x14ac:dyDescent="0.25">
      <c r="A25" s="245" t="s">
        <v>323</v>
      </c>
      <c r="B25" s="246">
        <v>-140</v>
      </c>
      <c r="C25" s="246">
        <v>-65</v>
      </c>
      <c r="D25" s="246">
        <v>-67</v>
      </c>
      <c r="E25" s="246">
        <v>-51</v>
      </c>
      <c r="F25" s="246"/>
      <c r="G25" s="246"/>
      <c r="H25" s="246"/>
      <c r="I25" s="246"/>
      <c r="J25" s="246"/>
      <c r="K25" s="246"/>
      <c r="L25" s="246">
        <v>-34.9</v>
      </c>
      <c r="M25" s="246"/>
      <c r="N25" s="246"/>
      <c r="O25" s="246"/>
      <c r="P25" s="246">
        <v>-80</v>
      </c>
      <c r="Q25" s="246"/>
      <c r="R25" s="246"/>
      <c r="S25" s="246">
        <v>-75</v>
      </c>
      <c r="T25" s="246"/>
      <c r="U25" s="246">
        <f>SUM(B25:T25)</f>
        <v>-512.9</v>
      </c>
      <c r="V25" s="246"/>
      <c r="W25" s="245">
        <v>40</v>
      </c>
      <c r="X25" s="245">
        <v>0</v>
      </c>
      <c r="Y25" s="237">
        <f t="shared" si="0"/>
        <v>-472.9</v>
      </c>
      <c r="Z25" s="252"/>
      <c r="AA25" s="239"/>
      <c r="AB25" s="240"/>
    </row>
    <row r="26" spans="1:28" x14ac:dyDescent="0.25">
      <c r="A26" s="245" t="s">
        <v>324</v>
      </c>
      <c r="B26" s="246">
        <v>-140</v>
      </c>
      <c r="C26" s="246">
        <v>-65</v>
      </c>
      <c r="D26" s="246">
        <v>-67</v>
      </c>
      <c r="E26" s="246">
        <v>-51</v>
      </c>
      <c r="F26" s="246"/>
      <c r="G26" s="246"/>
      <c r="H26" s="246"/>
      <c r="I26" s="246"/>
      <c r="J26" s="246"/>
      <c r="K26" s="246"/>
      <c r="L26" s="246">
        <v>-34.9</v>
      </c>
      <c r="M26" s="246"/>
      <c r="N26" s="246"/>
      <c r="O26" s="246"/>
      <c r="P26" s="246">
        <v>-30</v>
      </c>
      <c r="Q26" s="246"/>
      <c r="R26" s="246"/>
      <c r="S26" s="246">
        <v>-75</v>
      </c>
      <c r="T26" s="246"/>
      <c r="U26" s="246">
        <f>SUM(B26:T26)</f>
        <v>-462.9</v>
      </c>
      <c r="V26" s="246"/>
      <c r="W26" s="245">
        <v>40</v>
      </c>
      <c r="X26" s="245">
        <v>0</v>
      </c>
      <c r="Y26" s="237">
        <f t="shared" si="0"/>
        <v>-422.9</v>
      </c>
      <c r="Z26" s="252"/>
      <c r="AA26" s="239"/>
      <c r="AB26" s="240"/>
    </row>
    <row r="27" spans="1:28" x14ac:dyDescent="0.25">
      <c r="A27" s="245" t="s">
        <v>325</v>
      </c>
      <c r="B27" s="246">
        <v>-140</v>
      </c>
      <c r="C27" s="246">
        <v>-65</v>
      </c>
      <c r="D27" s="246">
        <v>-67</v>
      </c>
      <c r="E27" s="246">
        <v>-51</v>
      </c>
      <c r="F27" s="246"/>
      <c r="G27" s="246"/>
      <c r="H27" s="246"/>
      <c r="I27" s="246"/>
      <c r="J27" s="246"/>
      <c r="K27" s="246"/>
      <c r="L27" s="246">
        <v>0</v>
      </c>
      <c r="M27" s="246"/>
      <c r="N27" s="246"/>
      <c r="O27" s="246"/>
      <c r="P27" s="246">
        <v>0</v>
      </c>
      <c r="Q27" s="246"/>
      <c r="R27" s="246"/>
      <c r="S27" s="246">
        <v>-75</v>
      </c>
      <c r="T27" s="246"/>
      <c r="U27" s="246">
        <f>SUM(B27:T27)</f>
        <v>-398</v>
      </c>
      <c r="V27" s="246"/>
      <c r="W27" s="245">
        <v>40</v>
      </c>
      <c r="X27" s="245">
        <v>0</v>
      </c>
      <c r="Y27" s="237">
        <f t="shared" si="0"/>
        <v>-358</v>
      </c>
      <c r="Z27" s="252"/>
      <c r="AA27" s="239"/>
      <c r="AB27" s="240"/>
    </row>
    <row r="28" spans="1:28" x14ac:dyDescent="0.25">
      <c r="A28" s="245" t="s">
        <v>326</v>
      </c>
      <c r="B28" s="246">
        <v>-140</v>
      </c>
      <c r="C28" s="246">
        <v>-65</v>
      </c>
      <c r="D28" s="246">
        <v>-67</v>
      </c>
      <c r="E28" s="246">
        <v>-51</v>
      </c>
      <c r="F28" s="246"/>
      <c r="G28" s="246"/>
      <c r="H28" s="246"/>
      <c r="I28" s="246"/>
      <c r="J28" s="246"/>
      <c r="K28" s="246"/>
      <c r="L28" s="246">
        <v>0</v>
      </c>
      <c r="M28" s="246"/>
      <c r="N28" s="246"/>
      <c r="O28" s="246"/>
      <c r="P28" s="246">
        <v>0</v>
      </c>
      <c r="Q28" s="246"/>
      <c r="R28" s="246"/>
      <c r="S28" s="246">
        <v>0</v>
      </c>
      <c r="T28" s="246"/>
      <c r="U28" s="246">
        <f>SUM(B28:T28)</f>
        <v>-323</v>
      </c>
      <c r="V28" s="246"/>
      <c r="W28" s="245">
        <v>40</v>
      </c>
      <c r="X28" s="245">
        <v>0</v>
      </c>
      <c r="Y28" s="237">
        <f t="shared" si="0"/>
        <v>-283</v>
      </c>
      <c r="Z28" s="252"/>
      <c r="AA28" s="239"/>
      <c r="AB28" s="240"/>
    </row>
    <row r="29" spans="1:28" x14ac:dyDescent="0.25">
      <c r="A29" s="245" t="s">
        <v>327</v>
      </c>
      <c r="B29" s="246">
        <v>-140</v>
      </c>
      <c r="C29" s="246">
        <v>-65</v>
      </c>
      <c r="D29" s="246">
        <v>-67</v>
      </c>
      <c r="E29" s="246">
        <v>-51</v>
      </c>
      <c r="F29" s="246"/>
      <c r="G29" s="246"/>
      <c r="H29" s="246"/>
      <c r="I29" s="246"/>
      <c r="J29" s="246"/>
      <c r="K29" s="246"/>
      <c r="L29" s="246">
        <v>0</v>
      </c>
      <c r="M29" s="246"/>
      <c r="N29" s="246"/>
      <c r="O29" s="246"/>
      <c r="P29" s="246">
        <v>0</v>
      </c>
      <c r="Q29" s="246"/>
      <c r="R29" s="246"/>
      <c r="S29" s="246">
        <v>0</v>
      </c>
      <c r="T29" s="246"/>
      <c r="U29" s="246">
        <f>SUM(B29:T29)</f>
        <v>-323</v>
      </c>
      <c r="V29" s="246"/>
      <c r="W29" s="245">
        <v>57</v>
      </c>
      <c r="X29" s="245">
        <v>0</v>
      </c>
      <c r="Y29" s="237">
        <f t="shared" si="0"/>
        <v>-266</v>
      </c>
      <c r="Z29" s="252"/>
      <c r="AA29" s="239"/>
      <c r="AB29" s="240"/>
    </row>
    <row r="30" spans="1:28" x14ac:dyDescent="0.25">
      <c r="A30" s="245" t="s">
        <v>328</v>
      </c>
      <c r="B30" s="246">
        <v>-140</v>
      </c>
      <c r="C30" s="246">
        <v>-65</v>
      </c>
      <c r="D30" s="246">
        <v>-67</v>
      </c>
      <c r="E30" s="246">
        <v>-51</v>
      </c>
      <c r="F30" s="246"/>
      <c r="G30" s="246"/>
      <c r="H30" s="246"/>
      <c r="I30" s="246"/>
      <c r="J30" s="246"/>
      <c r="K30" s="246"/>
      <c r="L30" s="246">
        <v>0</v>
      </c>
      <c r="M30" s="246"/>
      <c r="N30" s="246"/>
      <c r="O30" s="246"/>
      <c r="P30" s="246">
        <v>0</v>
      </c>
      <c r="Q30" s="246"/>
      <c r="R30" s="246"/>
      <c r="S30" s="246">
        <v>0</v>
      </c>
      <c r="T30" s="246"/>
      <c r="U30" s="246">
        <f>SUM(B30:T30)</f>
        <v>-323</v>
      </c>
      <c r="V30" s="246"/>
      <c r="W30" s="245">
        <v>57</v>
      </c>
      <c r="X30" s="245">
        <v>0</v>
      </c>
      <c r="Y30" s="237">
        <f t="shared" si="0"/>
        <v>-266</v>
      </c>
      <c r="Z30" s="252"/>
      <c r="AA30" s="239"/>
      <c r="AB30" s="240"/>
    </row>
    <row r="31" spans="1:28" x14ac:dyDescent="0.25">
      <c r="A31" s="245" t="s">
        <v>329</v>
      </c>
      <c r="B31" s="246">
        <v>-140</v>
      </c>
      <c r="C31" s="246">
        <v>-65</v>
      </c>
      <c r="D31" s="246">
        <v>-67</v>
      </c>
      <c r="E31" s="246">
        <v>-51</v>
      </c>
      <c r="F31" s="246"/>
      <c r="G31" s="246"/>
      <c r="H31" s="246"/>
      <c r="I31" s="246"/>
      <c r="J31" s="246"/>
      <c r="K31" s="246"/>
      <c r="L31" s="246">
        <v>0</v>
      </c>
      <c r="M31" s="246"/>
      <c r="N31" s="246"/>
      <c r="O31" s="246"/>
      <c r="P31" s="246">
        <v>0</v>
      </c>
      <c r="Q31" s="246"/>
      <c r="R31" s="246"/>
      <c r="S31" s="246">
        <v>0</v>
      </c>
      <c r="T31" s="246"/>
      <c r="U31" s="246">
        <f>SUM(B31:T31)</f>
        <v>-323</v>
      </c>
      <c r="V31" s="246"/>
      <c r="W31" s="245">
        <v>57</v>
      </c>
      <c r="X31" s="245">
        <v>0</v>
      </c>
      <c r="Y31" s="237">
        <f t="shared" si="0"/>
        <v>-266</v>
      </c>
      <c r="Z31" s="252"/>
      <c r="AA31" s="239"/>
      <c r="AB31" s="240"/>
    </row>
    <row r="32" spans="1:28" x14ac:dyDescent="0.25">
      <c r="A32" s="245" t="s">
        <v>330</v>
      </c>
      <c r="B32" s="246">
        <v>-140</v>
      </c>
      <c r="C32" s="246">
        <v>-65</v>
      </c>
      <c r="D32" s="246">
        <v>-67</v>
      </c>
      <c r="E32" s="246">
        <v>-51</v>
      </c>
      <c r="F32" s="246"/>
      <c r="G32" s="246"/>
      <c r="H32" s="246"/>
      <c r="I32" s="246"/>
      <c r="J32" s="246"/>
      <c r="K32" s="246"/>
      <c r="L32" s="246">
        <v>0</v>
      </c>
      <c r="M32" s="246"/>
      <c r="N32" s="246"/>
      <c r="O32" s="246"/>
      <c r="P32" s="246">
        <v>0</v>
      </c>
      <c r="Q32" s="246"/>
      <c r="R32" s="246"/>
      <c r="S32" s="246">
        <v>0</v>
      </c>
      <c r="T32" s="246"/>
      <c r="U32" s="246">
        <f>SUM(B32:T32)</f>
        <v>-323</v>
      </c>
      <c r="V32" s="246"/>
      <c r="W32" s="245">
        <v>57</v>
      </c>
      <c r="X32" s="245">
        <v>0</v>
      </c>
      <c r="Y32" s="237">
        <f t="shared" si="0"/>
        <v>-266</v>
      </c>
      <c r="Z32" s="252"/>
      <c r="AA32" s="239"/>
      <c r="AB32" s="240"/>
    </row>
    <row r="33" spans="1:28" x14ac:dyDescent="0.25">
      <c r="A33" s="245" t="s">
        <v>331</v>
      </c>
      <c r="B33" s="246">
        <v>-140</v>
      </c>
      <c r="C33" s="246">
        <v>-65</v>
      </c>
      <c r="D33" s="246">
        <v>-67</v>
      </c>
      <c r="E33" s="246">
        <v>-51</v>
      </c>
      <c r="F33" s="246"/>
      <c r="G33" s="246"/>
      <c r="H33" s="246"/>
      <c r="I33" s="246"/>
      <c r="J33" s="246"/>
      <c r="K33" s="246"/>
      <c r="L33" s="246">
        <v>0</v>
      </c>
      <c r="M33" s="246"/>
      <c r="N33" s="246"/>
      <c r="O33" s="246"/>
      <c r="P33" s="246">
        <v>0</v>
      </c>
      <c r="Q33" s="246"/>
      <c r="R33" s="246"/>
      <c r="S33" s="246">
        <v>0</v>
      </c>
      <c r="T33" s="246"/>
      <c r="U33" s="246">
        <f>SUM(B33:T33)</f>
        <v>-323</v>
      </c>
      <c r="V33" s="246"/>
      <c r="W33" s="245">
        <v>57</v>
      </c>
      <c r="X33" s="245">
        <v>0</v>
      </c>
      <c r="Y33" s="237">
        <f t="shared" si="0"/>
        <v>-266</v>
      </c>
      <c r="Z33" s="252"/>
      <c r="AA33" s="239"/>
      <c r="AB33" s="240"/>
    </row>
    <row r="34" spans="1:28" x14ac:dyDescent="0.25">
      <c r="A34" s="245" t="s">
        <v>332</v>
      </c>
      <c r="B34" s="246">
        <v>-140</v>
      </c>
      <c r="C34" s="246">
        <v>-65</v>
      </c>
      <c r="D34" s="246">
        <v>-67</v>
      </c>
      <c r="E34" s="246">
        <v>-51</v>
      </c>
      <c r="F34" s="246"/>
      <c r="G34" s="246"/>
      <c r="H34" s="246"/>
      <c r="I34" s="246"/>
      <c r="J34" s="246"/>
      <c r="K34" s="246"/>
      <c r="L34" s="246">
        <v>0</v>
      </c>
      <c r="M34" s="246"/>
      <c r="N34" s="246"/>
      <c r="O34" s="246"/>
      <c r="P34" s="246">
        <v>0</v>
      </c>
      <c r="Q34" s="246"/>
      <c r="R34" s="246"/>
      <c r="S34" s="246">
        <v>0</v>
      </c>
      <c r="T34" s="246"/>
      <c r="U34" s="246">
        <f>SUM(B34:T34)</f>
        <v>-323</v>
      </c>
      <c r="V34" s="246"/>
      <c r="W34" s="245">
        <v>57</v>
      </c>
      <c r="X34" s="245">
        <v>0</v>
      </c>
      <c r="Y34" s="237">
        <f t="shared" si="0"/>
        <v>-266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/>
      <c r="G35" s="246"/>
      <c r="H35" s="246"/>
      <c r="I35" s="246"/>
      <c r="J35" s="246"/>
      <c r="K35" s="246"/>
      <c r="L35" s="246">
        <v>0</v>
      </c>
      <c r="M35" s="246"/>
      <c r="N35" s="246"/>
      <c r="O35" s="246"/>
      <c r="P35" s="246">
        <v>0</v>
      </c>
      <c r="Q35" s="246"/>
      <c r="R35" s="246"/>
      <c r="S35" s="246">
        <v>0</v>
      </c>
      <c r="T35" s="246"/>
      <c r="U35" s="246">
        <f>SUM(B35:T35)</f>
        <v>-323</v>
      </c>
      <c r="V35" s="246"/>
      <c r="W35" s="245">
        <v>57</v>
      </c>
      <c r="X35" s="245">
        <v>0</v>
      </c>
      <c r="Y35" s="237">
        <f t="shared" si="0"/>
        <v>-266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/>
      <c r="G36" s="246"/>
      <c r="H36" s="246"/>
      <c r="I36" s="246"/>
      <c r="J36" s="246"/>
      <c r="K36" s="246"/>
      <c r="L36" s="246">
        <v>0</v>
      </c>
      <c r="M36" s="246"/>
      <c r="N36" s="246"/>
      <c r="O36" s="246"/>
      <c r="P36" s="246">
        <v>0</v>
      </c>
      <c r="Q36" s="246"/>
      <c r="R36" s="246"/>
      <c r="S36" s="246">
        <v>0</v>
      </c>
      <c r="T36" s="246"/>
      <c r="U36" s="246">
        <f>SUM(B36:T36)</f>
        <v>-323</v>
      </c>
      <c r="V36" s="246"/>
      <c r="W36" s="245">
        <v>57</v>
      </c>
      <c r="X36" s="245">
        <v>0</v>
      </c>
      <c r="Y36" s="237">
        <f t="shared" si="0"/>
        <v>-266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5">
        <v>57</v>
      </c>
      <c r="X37" s="248">
        <v>0</v>
      </c>
      <c r="Y37" s="242">
        <f t="shared" si="0"/>
        <v>-266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>
        <v>0</v>
      </c>
      <c r="M38" s="246"/>
      <c r="N38" s="246"/>
      <c r="O38" s="246"/>
      <c r="P38" s="246">
        <v>0</v>
      </c>
      <c r="Q38" s="246"/>
      <c r="R38" s="246"/>
      <c r="S38" s="246">
        <v>0</v>
      </c>
      <c r="T38" s="246"/>
      <c r="U38" s="246">
        <f>SUM(B38:T38)</f>
        <v>-323</v>
      </c>
      <c r="V38" s="246"/>
      <c r="W38" s="245">
        <v>57</v>
      </c>
      <c r="X38" s="245">
        <v>0</v>
      </c>
      <c r="Y38" s="237">
        <f t="shared" si="0"/>
        <v>-266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>
        <v>-67</v>
      </c>
      <c r="E39" s="246">
        <v>0</v>
      </c>
      <c r="F39" s="246"/>
      <c r="G39" s="246"/>
      <c r="H39" s="246"/>
      <c r="I39" s="246"/>
      <c r="J39" s="246"/>
      <c r="K39" s="246"/>
      <c r="L39" s="246">
        <v>0</v>
      </c>
      <c r="M39" s="246"/>
      <c r="N39" s="246"/>
      <c r="O39" s="246"/>
      <c r="P39" s="246">
        <v>0</v>
      </c>
      <c r="Q39" s="246"/>
      <c r="R39" s="246"/>
      <c r="S39" s="246">
        <v>0</v>
      </c>
      <c r="T39" s="246"/>
      <c r="U39" s="246">
        <f>SUM(B39:T39)</f>
        <v>-272</v>
      </c>
      <c r="V39" s="246"/>
      <c r="W39" s="245">
        <v>57</v>
      </c>
      <c r="X39" s="245">
        <v>0</v>
      </c>
      <c r="Y39" s="237">
        <f t="shared" si="0"/>
        <v>-215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>
        <v>-67</v>
      </c>
      <c r="E40" s="246">
        <v>0</v>
      </c>
      <c r="F40" s="246"/>
      <c r="G40" s="246"/>
      <c r="H40" s="246"/>
      <c r="I40" s="246"/>
      <c r="J40" s="246"/>
      <c r="K40" s="246"/>
      <c r="L40" s="246">
        <v>0</v>
      </c>
      <c r="M40" s="246"/>
      <c r="N40" s="246"/>
      <c r="O40" s="246"/>
      <c r="P40" s="246">
        <v>0</v>
      </c>
      <c r="Q40" s="246"/>
      <c r="R40" s="246"/>
      <c r="S40" s="246">
        <v>0</v>
      </c>
      <c r="T40" s="246"/>
      <c r="U40" s="246">
        <f>SUM(B40:T40)</f>
        <v>-272</v>
      </c>
      <c r="V40" s="246"/>
      <c r="W40" s="245">
        <v>57</v>
      </c>
      <c r="X40" s="245">
        <v>0</v>
      </c>
      <c r="Y40" s="237">
        <f t="shared" si="0"/>
        <v>-215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>
        <v>-67</v>
      </c>
      <c r="E41" s="246">
        <v>0</v>
      </c>
      <c r="F41" s="246"/>
      <c r="G41" s="246"/>
      <c r="H41" s="246"/>
      <c r="I41" s="246"/>
      <c r="J41" s="246"/>
      <c r="K41" s="246"/>
      <c r="L41" s="246">
        <v>0</v>
      </c>
      <c r="M41" s="246"/>
      <c r="N41" s="246"/>
      <c r="O41" s="246"/>
      <c r="P41" s="246">
        <v>0</v>
      </c>
      <c r="Q41" s="246"/>
      <c r="R41" s="246"/>
      <c r="S41" s="246">
        <v>0</v>
      </c>
      <c r="T41" s="246"/>
      <c r="U41" s="246">
        <f>SUM(B41:T41)</f>
        <v>-272</v>
      </c>
      <c r="V41" s="246"/>
      <c r="W41" s="245">
        <v>57</v>
      </c>
      <c r="X41" s="245">
        <v>0</v>
      </c>
      <c r="Y41" s="237">
        <f t="shared" si="0"/>
        <v>-215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>
        <v>-67</v>
      </c>
      <c r="E42" s="246">
        <v>0</v>
      </c>
      <c r="F42" s="246"/>
      <c r="G42" s="246"/>
      <c r="H42" s="246"/>
      <c r="I42" s="246"/>
      <c r="J42" s="246"/>
      <c r="K42" s="246"/>
      <c r="L42" s="246">
        <v>0</v>
      </c>
      <c r="M42" s="246"/>
      <c r="N42" s="246"/>
      <c r="O42" s="246"/>
      <c r="P42" s="246">
        <v>0</v>
      </c>
      <c r="Q42" s="246"/>
      <c r="R42" s="246"/>
      <c r="S42" s="246">
        <v>0</v>
      </c>
      <c r="T42" s="246"/>
      <c r="U42" s="246">
        <f>SUM(B42:T42)</f>
        <v>-272</v>
      </c>
      <c r="V42" s="246"/>
      <c r="W42" s="245">
        <v>57</v>
      </c>
      <c r="X42" s="245">
        <v>0</v>
      </c>
      <c r="Y42" s="237">
        <f t="shared" si="0"/>
        <v>-215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>
        <v>-67</v>
      </c>
      <c r="E43" s="246">
        <v>0</v>
      </c>
      <c r="F43" s="246"/>
      <c r="G43" s="246"/>
      <c r="H43" s="246"/>
      <c r="I43" s="246"/>
      <c r="J43" s="246"/>
      <c r="K43" s="246"/>
      <c r="L43" s="246">
        <v>0</v>
      </c>
      <c r="M43" s="246"/>
      <c r="N43" s="246"/>
      <c r="O43" s="246"/>
      <c r="P43" s="246">
        <v>0</v>
      </c>
      <c r="Q43" s="246"/>
      <c r="R43" s="246"/>
      <c r="S43" s="246">
        <v>0</v>
      </c>
      <c r="T43" s="246"/>
      <c r="U43" s="246">
        <f>SUM(B43:T43)</f>
        <v>-272</v>
      </c>
      <c r="V43" s="246"/>
      <c r="W43" s="245">
        <v>57</v>
      </c>
      <c r="X43" s="245">
        <v>0</v>
      </c>
      <c r="Y43" s="237">
        <f t="shared" si="0"/>
        <v>-215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>
        <v>0</v>
      </c>
      <c r="E44" s="246">
        <v>0</v>
      </c>
      <c r="F44" s="246"/>
      <c r="G44" s="246"/>
      <c r="H44" s="246"/>
      <c r="I44" s="246"/>
      <c r="J44" s="246"/>
      <c r="K44" s="246"/>
      <c r="L44" s="246">
        <v>0</v>
      </c>
      <c r="M44" s="246"/>
      <c r="N44" s="246"/>
      <c r="O44" s="246"/>
      <c r="P44" s="246">
        <v>0</v>
      </c>
      <c r="Q44" s="246"/>
      <c r="R44" s="246"/>
      <c r="S44" s="246">
        <v>0</v>
      </c>
      <c r="T44" s="246"/>
      <c r="U44" s="246">
        <f>SUM(B44:T44)</f>
        <v>-205</v>
      </c>
      <c r="V44" s="246"/>
      <c r="W44" s="245">
        <v>57</v>
      </c>
      <c r="X44" s="245">
        <v>0</v>
      </c>
      <c r="Y44" s="237">
        <f t="shared" si="0"/>
        <v>-148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>
        <v>0</v>
      </c>
      <c r="D45" s="246">
        <v>0</v>
      </c>
      <c r="E45" s="246">
        <v>0</v>
      </c>
      <c r="F45" s="246"/>
      <c r="G45" s="246"/>
      <c r="H45" s="246"/>
      <c r="I45" s="246"/>
      <c r="J45" s="246"/>
      <c r="K45" s="246"/>
      <c r="L45" s="246">
        <v>0</v>
      </c>
      <c r="M45" s="246"/>
      <c r="N45" s="246"/>
      <c r="O45" s="246"/>
      <c r="P45" s="246">
        <v>0</v>
      </c>
      <c r="Q45" s="246"/>
      <c r="R45" s="246"/>
      <c r="S45" s="246">
        <v>0</v>
      </c>
      <c r="T45" s="246"/>
      <c r="U45" s="246">
        <f t="shared" ref="U45:U98" si="1">SUM(B45:T45)</f>
        <v>-140</v>
      </c>
      <c r="V45" s="246"/>
      <c r="W45" s="245">
        <v>57</v>
      </c>
      <c r="X45" s="245">
        <v>0</v>
      </c>
      <c r="Y45" s="237">
        <f t="shared" si="0"/>
        <v>-83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>
        <v>-140</v>
      </c>
      <c r="C46" s="246">
        <v>0</v>
      </c>
      <c r="D46" s="246">
        <v>0</v>
      </c>
      <c r="E46" s="246">
        <v>0</v>
      </c>
      <c r="F46" s="246"/>
      <c r="G46" s="246"/>
      <c r="H46" s="246"/>
      <c r="I46" s="246"/>
      <c r="J46" s="246"/>
      <c r="K46" s="246"/>
      <c r="L46" s="246">
        <v>0</v>
      </c>
      <c r="M46" s="246"/>
      <c r="N46" s="246"/>
      <c r="O46" s="246"/>
      <c r="P46" s="246">
        <v>0</v>
      </c>
      <c r="Q46" s="246"/>
      <c r="R46" s="246"/>
      <c r="S46" s="246">
        <v>0</v>
      </c>
      <c r="T46" s="246"/>
      <c r="U46" s="246">
        <f t="shared" si="1"/>
        <v>-140</v>
      </c>
      <c r="V46" s="246"/>
      <c r="W46" s="245">
        <v>57</v>
      </c>
      <c r="X46" s="245">
        <v>0</v>
      </c>
      <c r="Y46" s="237">
        <f t="shared" si="0"/>
        <v>-83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>
        <v>-140</v>
      </c>
      <c r="C47" s="246">
        <v>0</v>
      </c>
      <c r="D47" s="246">
        <v>0</v>
      </c>
      <c r="E47" s="246">
        <v>0</v>
      </c>
      <c r="F47" s="246"/>
      <c r="G47" s="246"/>
      <c r="H47" s="246"/>
      <c r="I47" s="246"/>
      <c r="J47" s="246"/>
      <c r="K47" s="246"/>
      <c r="L47" s="246">
        <v>0</v>
      </c>
      <c r="M47" s="246"/>
      <c r="N47" s="246"/>
      <c r="O47" s="246"/>
      <c r="P47" s="246">
        <v>0</v>
      </c>
      <c r="Q47" s="246"/>
      <c r="R47" s="246"/>
      <c r="S47" s="246">
        <v>0</v>
      </c>
      <c r="T47" s="246"/>
      <c r="U47" s="246">
        <f t="shared" si="1"/>
        <v>-140</v>
      </c>
      <c r="V47" s="246"/>
      <c r="W47" s="245">
        <v>57</v>
      </c>
      <c r="X47" s="245">
        <v>0</v>
      </c>
      <c r="Y47" s="237">
        <f t="shared" si="0"/>
        <v>-83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>
        <v>-140</v>
      </c>
      <c r="C48" s="246">
        <v>0</v>
      </c>
      <c r="D48" s="246">
        <v>0</v>
      </c>
      <c r="E48" s="246">
        <v>0</v>
      </c>
      <c r="F48" s="246"/>
      <c r="G48" s="246"/>
      <c r="H48" s="246"/>
      <c r="I48" s="246"/>
      <c r="J48" s="246"/>
      <c r="K48" s="246"/>
      <c r="L48" s="246">
        <v>0</v>
      </c>
      <c r="M48" s="246"/>
      <c r="N48" s="246"/>
      <c r="O48" s="246"/>
      <c r="P48" s="246">
        <v>0</v>
      </c>
      <c r="Q48" s="246"/>
      <c r="R48" s="246"/>
      <c r="S48" s="246">
        <v>0</v>
      </c>
      <c r="T48" s="246"/>
      <c r="U48" s="246">
        <f t="shared" si="1"/>
        <v>-140</v>
      </c>
      <c r="V48" s="246"/>
      <c r="W48" s="245">
        <v>57</v>
      </c>
      <c r="X48" s="245">
        <v>0</v>
      </c>
      <c r="Y48" s="237">
        <f t="shared" si="0"/>
        <v>-83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>
        <v>-140</v>
      </c>
      <c r="C49" s="246">
        <v>0</v>
      </c>
      <c r="D49" s="246">
        <v>0</v>
      </c>
      <c r="E49" s="246">
        <v>0</v>
      </c>
      <c r="F49" s="246"/>
      <c r="G49" s="246"/>
      <c r="H49" s="246"/>
      <c r="I49" s="246"/>
      <c r="J49" s="246"/>
      <c r="K49" s="246"/>
      <c r="L49" s="246">
        <v>0</v>
      </c>
      <c r="M49" s="246"/>
      <c r="N49" s="246"/>
      <c r="O49" s="246"/>
      <c r="P49" s="246">
        <v>0</v>
      </c>
      <c r="Q49" s="246"/>
      <c r="R49" s="246"/>
      <c r="S49" s="246">
        <v>0</v>
      </c>
      <c r="T49" s="246"/>
      <c r="U49" s="246">
        <f t="shared" si="1"/>
        <v>-140</v>
      </c>
      <c r="V49" s="246"/>
      <c r="W49" s="245">
        <v>57</v>
      </c>
      <c r="X49" s="245">
        <v>0</v>
      </c>
      <c r="Y49" s="237">
        <f t="shared" si="0"/>
        <v>-83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>
        <v>-140</v>
      </c>
      <c r="C50" s="246">
        <v>0</v>
      </c>
      <c r="D50" s="246">
        <v>0</v>
      </c>
      <c r="E50" s="246">
        <v>0</v>
      </c>
      <c r="F50" s="246"/>
      <c r="G50" s="246"/>
      <c r="H50" s="246"/>
      <c r="I50" s="246"/>
      <c r="J50" s="246"/>
      <c r="K50" s="246"/>
      <c r="L50" s="246">
        <v>0</v>
      </c>
      <c r="M50" s="246"/>
      <c r="N50" s="246"/>
      <c r="O50" s="246"/>
      <c r="P50" s="246">
        <v>0</v>
      </c>
      <c r="Q50" s="246"/>
      <c r="R50" s="246"/>
      <c r="S50" s="246">
        <v>0</v>
      </c>
      <c r="T50" s="246"/>
      <c r="U50" s="246">
        <f t="shared" si="1"/>
        <v>-140</v>
      </c>
      <c r="V50" s="246"/>
      <c r="W50" s="245">
        <v>57</v>
      </c>
      <c r="X50" s="245">
        <v>0</v>
      </c>
      <c r="Y50" s="237">
        <f t="shared" si="0"/>
        <v>-83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>
        <v>-140</v>
      </c>
      <c r="C51" s="246">
        <v>0</v>
      </c>
      <c r="D51" s="246">
        <v>0</v>
      </c>
      <c r="E51" s="246">
        <v>0</v>
      </c>
      <c r="F51" s="246"/>
      <c r="G51" s="246"/>
      <c r="H51" s="246"/>
      <c r="I51" s="246"/>
      <c r="J51" s="246"/>
      <c r="K51" s="246"/>
      <c r="L51" s="246">
        <v>0</v>
      </c>
      <c r="M51" s="246"/>
      <c r="N51" s="246"/>
      <c r="O51" s="246"/>
      <c r="P51" s="246">
        <v>0</v>
      </c>
      <c r="Q51" s="246"/>
      <c r="R51" s="246"/>
      <c r="S51" s="246">
        <v>0</v>
      </c>
      <c r="T51" s="246"/>
      <c r="U51" s="246">
        <f t="shared" si="1"/>
        <v>-140</v>
      </c>
      <c r="V51" s="246"/>
      <c r="W51" s="245">
        <v>57</v>
      </c>
      <c r="X51" s="245">
        <v>0</v>
      </c>
      <c r="Y51" s="237">
        <f t="shared" si="0"/>
        <v>-83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>
        <v>-140</v>
      </c>
      <c r="C52" s="246">
        <v>0</v>
      </c>
      <c r="D52" s="246">
        <v>0</v>
      </c>
      <c r="E52" s="246">
        <v>0</v>
      </c>
      <c r="F52" s="246"/>
      <c r="G52" s="246"/>
      <c r="H52" s="246"/>
      <c r="I52" s="246"/>
      <c r="J52" s="246"/>
      <c r="K52" s="246"/>
      <c r="L52" s="246">
        <v>0</v>
      </c>
      <c r="M52" s="246"/>
      <c r="N52" s="246"/>
      <c r="O52" s="246"/>
      <c r="P52" s="246">
        <v>0</v>
      </c>
      <c r="Q52" s="246"/>
      <c r="R52" s="246"/>
      <c r="S52" s="246">
        <v>0</v>
      </c>
      <c r="T52" s="246"/>
      <c r="U52" s="246">
        <f t="shared" si="1"/>
        <v>-140</v>
      </c>
      <c r="V52" s="246"/>
      <c r="W52" s="245">
        <v>57</v>
      </c>
      <c r="X52" s="245">
        <v>0</v>
      </c>
      <c r="Y52" s="237">
        <f t="shared" si="0"/>
        <v>-83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>
        <v>-140</v>
      </c>
      <c r="C53" s="246">
        <v>0</v>
      </c>
      <c r="D53" s="246">
        <v>0</v>
      </c>
      <c r="E53" s="246">
        <v>0</v>
      </c>
      <c r="F53" s="246"/>
      <c r="G53" s="246"/>
      <c r="H53" s="246"/>
      <c r="I53" s="246"/>
      <c r="J53" s="246"/>
      <c r="K53" s="246"/>
      <c r="L53" s="246">
        <v>0</v>
      </c>
      <c r="M53" s="246"/>
      <c r="N53" s="246"/>
      <c r="O53" s="246"/>
      <c r="P53" s="246">
        <v>0</v>
      </c>
      <c r="Q53" s="246"/>
      <c r="R53" s="246"/>
      <c r="S53" s="246">
        <v>0</v>
      </c>
      <c r="T53" s="246"/>
      <c r="U53" s="246">
        <f t="shared" si="1"/>
        <v>-140</v>
      </c>
      <c r="V53" s="246">
        <v>60</v>
      </c>
      <c r="W53" s="245">
        <v>57</v>
      </c>
      <c r="X53" s="245">
        <v>0</v>
      </c>
      <c r="Y53" s="237">
        <f t="shared" si="0"/>
        <v>-23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>
        <v>-140</v>
      </c>
      <c r="C54" s="246">
        <v>0</v>
      </c>
      <c r="D54" s="246">
        <v>0</v>
      </c>
      <c r="E54" s="246">
        <v>0</v>
      </c>
      <c r="F54" s="246"/>
      <c r="G54" s="246"/>
      <c r="H54" s="246"/>
      <c r="I54" s="246"/>
      <c r="J54" s="246"/>
      <c r="K54" s="246"/>
      <c r="L54" s="246">
        <v>0</v>
      </c>
      <c r="M54" s="246"/>
      <c r="N54" s="246"/>
      <c r="O54" s="246"/>
      <c r="P54" s="246">
        <v>0</v>
      </c>
      <c r="Q54" s="246"/>
      <c r="R54" s="246"/>
      <c r="S54" s="246">
        <v>0</v>
      </c>
      <c r="T54" s="246"/>
      <c r="U54" s="246">
        <f t="shared" si="1"/>
        <v>-140</v>
      </c>
      <c r="V54" s="246">
        <v>60</v>
      </c>
      <c r="W54" s="245">
        <v>57</v>
      </c>
      <c r="X54" s="245">
        <v>0</v>
      </c>
      <c r="Y54" s="237">
        <f t="shared" si="0"/>
        <v>-23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>
        <v>-140</v>
      </c>
      <c r="C55" s="246">
        <v>0</v>
      </c>
      <c r="D55" s="246">
        <v>0</v>
      </c>
      <c r="E55" s="246">
        <v>0</v>
      </c>
      <c r="F55" s="246"/>
      <c r="G55" s="246"/>
      <c r="H55" s="246"/>
      <c r="I55" s="246"/>
      <c r="J55" s="246"/>
      <c r="K55" s="246"/>
      <c r="L55" s="246">
        <v>0</v>
      </c>
      <c r="M55" s="246"/>
      <c r="N55" s="246"/>
      <c r="O55" s="246"/>
      <c r="P55" s="246">
        <v>0</v>
      </c>
      <c r="Q55" s="246"/>
      <c r="R55" s="246"/>
      <c r="S55" s="246">
        <v>0</v>
      </c>
      <c r="T55" s="246"/>
      <c r="U55" s="246">
        <f t="shared" si="1"/>
        <v>-140</v>
      </c>
      <c r="V55" s="246">
        <v>60</v>
      </c>
      <c r="W55" s="245">
        <v>57</v>
      </c>
      <c r="X55" s="245">
        <v>0</v>
      </c>
      <c r="Y55" s="237">
        <f t="shared" si="0"/>
        <v>-23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>
        <v>-140</v>
      </c>
      <c r="C56" s="246">
        <v>0</v>
      </c>
      <c r="D56" s="246">
        <v>0</v>
      </c>
      <c r="E56" s="246">
        <v>0</v>
      </c>
      <c r="F56" s="246"/>
      <c r="G56" s="246"/>
      <c r="H56" s="246"/>
      <c r="I56" s="246"/>
      <c r="J56" s="246"/>
      <c r="K56" s="246"/>
      <c r="L56" s="246">
        <v>0</v>
      </c>
      <c r="M56" s="246"/>
      <c r="N56" s="246"/>
      <c r="O56" s="246"/>
      <c r="P56" s="246">
        <v>0</v>
      </c>
      <c r="Q56" s="246"/>
      <c r="R56" s="246"/>
      <c r="S56" s="246">
        <v>0</v>
      </c>
      <c r="T56" s="246"/>
      <c r="U56" s="246">
        <f t="shared" si="1"/>
        <v>-140</v>
      </c>
      <c r="V56" s="246">
        <v>60</v>
      </c>
      <c r="W56" s="245">
        <v>57</v>
      </c>
      <c r="X56" s="245">
        <v>0</v>
      </c>
      <c r="Y56" s="237">
        <f t="shared" si="0"/>
        <v>-23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>
        <v>-140</v>
      </c>
      <c r="C57" s="246">
        <v>0</v>
      </c>
      <c r="D57" s="246">
        <v>0</v>
      </c>
      <c r="E57" s="246">
        <v>0</v>
      </c>
      <c r="F57" s="246"/>
      <c r="G57" s="246"/>
      <c r="H57" s="246"/>
      <c r="I57" s="246"/>
      <c r="J57" s="246"/>
      <c r="K57" s="246"/>
      <c r="L57" s="246">
        <v>0</v>
      </c>
      <c r="M57" s="246"/>
      <c r="N57" s="246"/>
      <c r="O57" s="246"/>
      <c r="P57" s="246">
        <v>0</v>
      </c>
      <c r="Q57" s="246"/>
      <c r="R57" s="246"/>
      <c r="S57" s="246">
        <v>0</v>
      </c>
      <c r="T57" s="246"/>
      <c r="U57" s="246">
        <f t="shared" si="1"/>
        <v>-140</v>
      </c>
      <c r="V57" s="246">
        <v>60</v>
      </c>
      <c r="W57" s="245">
        <v>57</v>
      </c>
      <c r="X57" s="245">
        <v>0</v>
      </c>
      <c r="Y57" s="237">
        <f t="shared" si="0"/>
        <v>-23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>
        <v>-140</v>
      </c>
      <c r="C58" s="246">
        <v>0</v>
      </c>
      <c r="D58" s="246">
        <v>0</v>
      </c>
      <c r="E58" s="246">
        <v>0</v>
      </c>
      <c r="F58" s="246"/>
      <c r="G58" s="246"/>
      <c r="H58" s="246"/>
      <c r="I58" s="246"/>
      <c r="J58" s="246"/>
      <c r="K58" s="246"/>
      <c r="L58" s="246">
        <v>0</v>
      </c>
      <c r="M58" s="246"/>
      <c r="N58" s="246"/>
      <c r="O58" s="246"/>
      <c r="P58" s="246">
        <v>0</v>
      </c>
      <c r="Q58" s="246"/>
      <c r="R58" s="246"/>
      <c r="S58" s="246">
        <v>0</v>
      </c>
      <c r="T58" s="246"/>
      <c r="U58" s="246">
        <f t="shared" si="1"/>
        <v>-140</v>
      </c>
      <c r="V58" s="246">
        <v>60</v>
      </c>
      <c r="W58" s="245">
        <v>57</v>
      </c>
      <c r="X58" s="245">
        <v>0</v>
      </c>
      <c r="Y58" s="237">
        <f t="shared" si="0"/>
        <v>-23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5">
        <v>57</v>
      </c>
      <c r="X59" s="248">
        <v>0</v>
      </c>
      <c r="Y59" s="242">
        <f t="shared" si="0"/>
        <v>-83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0</v>
      </c>
      <c r="D60" s="246">
        <v>0</v>
      </c>
      <c r="E60" s="246">
        <v>0</v>
      </c>
      <c r="F60" s="246"/>
      <c r="G60" s="246"/>
      <c r="H60" s="246"/>
      <c r="I60" s="246"/>
      <c r="J60" s="246"/>
      <c r="K60" s="246"/>
      <c r="L60" s="246">
        <v>0</v>
      </c>
      <c r="M60" s="246"/>
      <c r="N60" s="246"/>
      <c r="O60" s="246"/>
      <c r="P60" s="246">
        <v>0</v>
      </c>
      <c r="Q60" s="246"/>
      <c r="R60" s="246"/>
      <c r="S60" s="246">
        <v>0</v>
      </c>
      <c r="T60" s="246"/>
      <c r="U60" s="246">
        <f t="shared" si="1"/>
        <v>-140</v>
      </c>
      <c r="V60" s="246"/>
      <c r="W60" s="245">
        <v>57</v>
      </c>
      <c r="X60" s="245">
        <v>0</v>
      </c>
      <c r="Y60" s="237">
        <f t="shared" si="0"/>
        <v>-83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0</v>
      </c>
      <c r="D61" s="246">
        <v>0</v>
      </c>
      <c r="E61" s="246">
        <v>0</v>
      </c>
      <c r="F61" s="246"/>
      <c r="G61" s="246"/>
      <c r="H61" s="246"/>
      <c r="I61" s="246"/>
      <c r="J61" s="246"/>
      <c r="K61" s="246"/>
      <c r="L61" s="246">
        <v>0</v>
      </c>
      <c r="M61" s="246"/>
      <c r="N61" s="246"/>
      <c r="O61" s="246"/>
      <c r="P61" s="246">
        <v>0</v>
      </c>
      <c r="Q61" s="246"/>
      <c r="R61" s="246"/>
      <c r="S61" s="246">
        <v>0</v>
      </c>
      <c r="T61" s="246"/>
      <c r="U61" s="246">
        <f t="shared" si="1"/>
        <v>-140</v>
      </c>
      <c r="V61" s="246"/>
      <c r="W61" s="245">
        <v>57</v>
      </c>
      <c r="X61" s="245">
        <v>0</v>
      </c>
      <c r="Y61" s="237">
        <f t="shared" si="0"/>
        <v>-83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0</v>
      </c>
      <c r="D62" s="246">
        <v>0</v>
      </c>
      <c r="E62" s="246">
        <v>0</v>
      </c>
      <c r="F62" s="246"/>
      <c r="G62" s="246"/>
      <c r="H62" s="246"/>
      <c r="I62" s="246"/>
      <c r="J62" s="246"/>
      <c r="K62" s="246"/>
      <c r="L62" s="246">
        <v>0</v>
      </c>
      <c r="M62" s="246"/>
      <c r="N62" s="246"/>
      <c r="O62" s="246"/>
      <c r="P62" s="246">
        <v>0</v>
      </c>
      <c r="Q62" s="246"/>
      <c r="R62" s="246"/>
      <c r="S62" s="246">
        <v>0</v>
      </c>
      <c r="T62" s="246"/>
      <c r="U62" s="246">
        <f t="shared" si="1"/>
        <v>-140</v>
      </c>
      <c r="V62" s="246"/>
      <c r="W62" s="245">
        <v>57</v>
      </c>
      <c r="X62" s="245">
        <v>0</v>
      </c>
      <c r="Y62" s="237">
        <f t="shared" si="0"/>
        <v>-83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0</v>
      </c>
      <c r="D63" s="246">
        <v>0</v>
      </c>
      <c r="E63" s="246">
        <v>0</v>
      </c>
      <c r="F63" s="246"/>
      <c r="G63" s="246"/>
      <c r="H63" s="246"/>
      <c r="I63" s="246"/>
      <c r="J63" s="246"/>
      <c r="K63" s="246"/>
      <c r="L63" s="246">
        <v>0</v>
      </c>
      <c r="M63" s="246"/>
      <c r="N63" s="246"/>
      <c r="O63" s="246"/>
      <c r="P63" s="246">
        <v>0</v>
      </c>
      <c r="Q63" s="246"/>
      <c r="R63" s="246"/>
      <c r="S63" s="246">
        <v>0</v>
      </c>
      <c r="T63" s="246"/>
      <c r="U63" s="246">
        <f t="shared" si="1"/>
        <v>-140</v>
      </c>
      <c r="V63" s="246"/>
      <c r="W63" s="245">
        <v>57</v>
      </c>
      <c r="X63" s="245">
        <v>0</v>
      </c>
      <c r="Y63" s="237">
        <f t="shared" si="0"/>
        <v>-83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0</v>
      </c>
      <c r="D64" s="246">
        <v>0</v>
      </c>
      <c r="E64" s="246">
        <v>0</v>
      </c>
      <c r="F64" s="246"/>
      <c r="G64" s="246"/>
      <c r="H64" s="246"/>
      <c r="I64" s="246"/>
      <c r="J64" s="246"/>
      <c r="K64" s="246"/>
      <c r="L64" s="246">
        <v>0</v>
      </c>
      <c r="M64" s="246"/>
      <c r="N64" s="246"/>
      <c r="O64" s="246"/>
      <c r="P64" s="246">
        <v>0</v>
      </c>
      <c r="Q64" s="246"/>
      <c r="R64" s="246"/>
      <c r="S64" s="246">
        <v>0</v>
      </c>
      <c r="T64" s="246"/>
      <c r="U64" s="246">
        <f t="shared" si="1"/>
        <v>-140</v>
      </c>
      <c r="V64" s="246"/>
      <c r="W64" s="245">
        <v>57</v>
      </c>
      <c r="X64" s="245">
        <v>0</v>
      </c>
      <c r="Y64" s="237">
        <f t="shared" si="0"/>
        <v>-83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0</v>
      </c>
      <c r="D65" s="246">
        <v>0</v>
      </c>
      <c r="E65" s="246">
        <v>0</v>
      </c>
      <c r="F65" s="246"/>
      <c r="G65" s="246"/>
      <c r="H65" s="246"/>
      <c r="I65" s="246"/>
      <c r="J65" s="246"/>
      <c r="K65" s="246"/>
      <c r="L65" s="246">
        <v>0</v>
      </c>
      <c r="M65" s="246"/>
      <c r="N65" s="246"/>
      <c r="O65" s="246"/>
      <c r="P65" s="246">
        <v>0</v>
      </c>
      <c r="Q65" s="246"/>
      <c r="R65" s="246"/>
      <c r="S65" s="246">
        <v>0</v>
      </c>
      <c r="T65" s="246"/>
      <c r="U65" s="246">
        <f t="shared" si="1"/>
        <v>-140</v>
      </c>
      <c r="V65" s="246"/>
      <c r="W65" s="245">
        <v>57</v>
      </c>
      <c r="X65" s="245">
        <v>0</v>
      </c>
      <c r="Y65" s="237">
        <f t="shared" si="0"/>
        <v>-83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0</v>
      </c>
      <c r="D66" s="246">
        <v>0</v>
      </c>
      <c r="E66" s="246">
        <v>0</v>
      </c>
      <c r="F66" s="246"/>
      <c r="G66" s="246"/>
      <c r="H66" s="246"/>
      <c r="I66" s="246"/>
      <c r="J66" s="246"/>
      <c r="K66" s="246"/>
      <c r="L66" s="246">
        <v>0</v>
      </c>
      <c r="M66" s="246"/>
      <c r="N66" s="246"/>
      <c r="O66" s="246"/>
      <c r="P66" s="246">
        <v>0</v>
      </c>
      <c r="Q66" s="246"/>
      <c r="R66" s="246"/>
      <c r="S66" s="246">
        <v>0</v>
      </c>
      <c r="T66" s="246"/>
      <c r="U66" s="246">
        <f t="shared" si="1"/>
        <v>-140</v>
      </c>
      <c r="V66" s="246"/>
      <c r="W66" s="245">
        <v>57</v>
      </c>
      <c r="X66" s="245">
        <v>0</v>
      </c>
      <c r="Y66" s="237">
        <f t="shared" si="0"/>
        <v>-83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0</v>
      </c>
      <c r="D67" s="246">
        <v>0</v>
      </c>
      <c r="E67" s="246">
        <v>0</v>
      </c>
      <c r="F67" s="246"/>
      <c r="G67" s="246"/>
      <c r="H67" s="246"/>
      <c r="I67" s="246"/>
      <c r="J67" s="246"/>
      <c r="K67" s="246"/>
      <c r="L67" s="246">
        <v>0</v>
      </c>
      <c r="M67" s="246"/>
      <c r="N67" s="246"/>
      <c r="O67" s="246"/>
      <c r="P67" s="246">
        <v>0</v>
      </c>
      <c r="Q67" s="246"/>
      <c r="R67" s="246"/>
      <c r="S67" s="246">
        <v>0</v>
      </c>
      <c r="T67" s="246"/>
      <c r="U67" s="246">
        <f t="shared" si="1"/>
        <v>-140</v>
      </c>
      <c r="V67" s="246"/>
      <c r="W67" s="245">
        <v>57</v>
      </c>
      <c r="X67" s="245">
        <v>0</v>
      </c>
      <c r="Y67" s="237">
        <f t="shared" si="0"/>
        <v>-83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0</v>
      </c>
      <c r="D68" s="246">
        <v>0</v>
      </c>
      <c r="E68" s="246">
        <v>0</v>
      </c>
      <c r="F68" s="246"/>
      <c r="G68" s="246"/>
      <c r="H68" s="246"/>
      <c r="I68" s="246"/>
      <c r="J68" s="246"/>
      <c r="K68" s="246"/>
      <c r="L68" s="246">
        <v>0</v>
      </c>
      <c r="M68" s="246"/>
      <c r="N68" s="246"/>
      <c r="O68" s="246"/>
      <c r="P68" s="246">
        <v>0</v>
      </c>
      <c r="Q68" s="246"/>
      <c r="R68" s="246"/>
      <c r="S68" s="246">
        <v>0</v>
      </c>
      <c r="T68" s="246"/>
      <c r="U68" s="246">
        <f t="shared" si="1"/>
        <v>-140</v>
      </c>
      <c r="V68" s="246"/>
      <c r="W68" s="245">
        <v>57</v>
      </c>
      <c r="X68" s="245">
        <v>0</v>
      </c>
      <c r="Y68" s="237">
        <f t="shared" ref="Y68:Y98" si="2">SUM(U68:X68)</f>
        <v>-83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0</v>
      </c>
      <c r="D69" s="246">
        <v>0</v>
      </c>
      <c r="E69" s="246">
        <v>0</v>
      </c>
      <c r="F69" s="246"/>
      <c r="G69" s="246"/>
      <c r="H69" s="246"/>
      <c r="I69" s="246"/>
      <c r="J69" s="246"/>
      <c r="K69" s="246"/>
      <c r="L69" s="246">
        <v>0</v>
      </c>
      <c r="M69" s="246"/>
      <c r="N69" s="246"/>
      <c r="O69" s="246"/>
      <c r="P69" s="246">
        <v>0</v>
      </c>
      <c r="Q69" s="246"/>
      <c r="R69" s="246"/>
      <c r="S69" s="246">
        <v>0</v>
      </c>
      <c r="T69" s="246"/>
      <c r="U69" s="246">
        <f t="shared" si="1"/>
        <v>-140</v>
      </c>
      <c r="V69" s="246"/>
      <c r="W69" s="245">
        <v>57</v>
      </c>
      <c r="X69" s="245">
        <v>0</v>
      </c>
      <c r="Y69" s="237">
        <f t="shared" si="2"/>
        <v>-83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5">
        <v>57</v>
      </c>
      <c r="X70" s="248">
        <v>0</v>
      </c>
      <c r="Y70" s="242">
        <f t="shared" si="2"/>
        <v>-83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>
        <v>-140</v>
      </c>
      <c r="C71" s="246">
        <v>0</v>
      </c>
      <c r="D71" s="246">
        <v>0</v>
      </c>
      <c r="E71" s="246">
        <v>0</v>
      </c>
      <c r="F71" s="246"/>
      <c r="G71" s="246"/>
      <c r="H71" s="246"/>
      <c r="I71" s="246"/>
      <c r="J71" s="246"/>
      <c r="K71" s="246"/>
      <c r="L71" s="246">
        <v>0</v>
      </c>
      <c r="M71" s="246"/>
      <c r="N71" s="246"/>
      <c r="O71" s="246"/>
      <c r="P71" s="246">
        <v>0</v>
      </c>
      <c r="Q71" s="246"/>
      <c r="R71" s="246"/>
      <c r="S71" s="246">
        <v>0</v>
      </c>
      <c r="T71" s="246"/>
      <c r="U71" s="246">
        <f t="shared" si="1"/>
        <v>-140</v>
      </c>
      <c r="V71" s="246"/>
      <c r="W71" s="245">
        <v>57</v>
      </c>
      <c r="X71" s="245">
        <v>0</v>
      </c>
      <c r="Y71" s="237">
        <f t="shared" si="2"/>
        <v>-83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>
        <v>-140</v>
      </c>
      <c r="C72" s="246">
        <v>0</v>
      </c>
      <c r="D72" s="246">
        <v>0</v>
      </c>
      <c r="E72" s="246">
        <v>0</v>
      </c>
      <c r="F72" s="246"/>
      <c r="G72" s="246"/>
      <c r="H72" s="246"/>
      <c r="I72" s="246"/>
      <c r="J72" s="246"/>
      <c r="K72" s="246"/>
      <c r="L72" s="246">
        <v>0</v>
      </c>
      <c r="M72" s="246"/>
      <c r="N72" s="246"/>
      <c r="O72" s="246"/>
      <c r="P72" s="246">
        <v>0</v>
      </c>
      <c r="Q72" s="246"/>
      <c r="R72" s="246"/>
      <c r="S72" s="246">
        <v>0</v>
      </c>
      <c r="T72" s="246"/>
      <c r="U72" s="246">
        <f t="shared" si="1"/>
        <v>-140</v>
      </c>
      <c r="V72" s="246"/>
      <c r="W72" s="245">
        <v>57</v>
      </c>
      <c r="X72" s="245">
        <v>0</v>
      </c>
      <c r="Y72" s="237">
        <f t="shared" si="2"/>
        <v>-83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>
        <v>-140</v>
      </c>
      <c r="C73" s="246">
        <v>0</v>
      </c>
      <c r="D73" s="246">
        <v>-67</v>
      </c>
      <c r="E73" s="246">
        <v>0</v>
      </c>
      <c r="F73" s="246"/>
      <c r="G73" s="246"/>
      <c r="H73" s="246"/>
      <c r="I73" s="246"/>
      <c r="J73" s="246"/>
      <c r="K73" s="246"/>
      <c r="L73" s="246">
        <v>0</v>
      </c>
      <c r="M73" s="246"/>
      <c r="N73" s="246"/>
      <c r="O73" s="246"/>
      <c r="P73" s="246">
        <v>0</v>
      </c>
      <c r="Q73" s="246"/>
      <c r="R73" s="246"/>
      <c r="S73" s="246">
        <v>0</v>
      </c>
      <c r="T73" s="246"/>
      <c r="U73" s="246">
        <f t="shared" si="1"/>
        <v>-207</v>
      </c>
      <c r="V73" s="246"/>
      <c r="W73" s="245">
        <v>57</v>
      </c>
      <c r="X73" s="245">
        <v>0</v>
      </c>
      <c r="Y73" s="237">
        <f t="shared" si="2"/>
        <v>-150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>
        <v>-140</v>
      </c>
      <c r="C74" s="246">
        <v>0</v>
      </c>
      <c r="D74" s="246">
        <v>-67</v>
      </c>
      <c r="E74" s="246">
        <v>0</v>
      </c>
      <c r="F74" s="246"/>
      <c r="G74" s="246"/>
      <c r="H74" s="246"/>
      <c r="I74" s="246"/>
      <c r="J74" s="246"/>
      <c r="K74" s="246"/>
      <c r="L74" s="246">
        <v>0</v>
      </c>
      <c r="M74" s="246"/>
      <c r="N74" s="246"/>
      <c r="O74" s="246"/>
      <c r="P74" s="246">
        <v>0</v>
      </c>
      <c r="Q74" s="246"/>
      <c r="R74" s="246"/>
      <c r="S74" s="246">
        <v>0</v>
      </c>
      <c r="T74" s="246"/>
      <c r="U74" s="246">
        <f t="shared" si="1"/>
        <v>-207</v>
      </c>
      <c r="V74" s="246"/>
      <c r="W74" s="245">
        <v>57</v>
      </c>
      <c r="X74" s="245">
        <v>0</v>
      </c>
      <c r="Y74" s="237">
        <f t="shared" si="2"/>
        <v>-150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>
        <v>-140</v>
      </c>
      <c r="C75" s="246">
        <v>0</v>
      </c>
      <c r="D75" s="246">
        <v>-67</v>
      </c>
      <c r="E75" s="246">
        <v>0</v>
      </c>
      <c r="F75" s="246"/>
      <c r="G75" s="246"/>
      <c r="H75" s="246"/>
      <c r="I75" s="246"/>
      <c r="J75" s="246"/>
      <c r="K75" s="246"/>
      <c r="L75" s="246">
        <v>0</v>
      </c>
      <c r="M75" s="246"/>
      <c r="N75" s="246"/>
      <c r="O75" s="246"/>
      <c r="P75" s="246">
        <v>0</v>
      </c>
      <c r="Q75" s="246"/>
      <c r="R75" s="246"/>
      <c r="S75" s="246">
        <v>0</v>
      </c>
      <c r="T75" s="246"/>
      <c r="U75" s="246">
        <f t="shared" si="1"/>
        <v>-207</v>
      </c>
      <c r="V75" s="246"/>
      <c r="W75" s="245">
        <v>57</v>
      </c>
      <c r="X75" s="245">
        <v>0</v>
      </c>
      <c r="Y75" s="237">
        <f t="shared" si="2"/>
        <v>-150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>
        <v>-140</v>
      </c>
      <c r="C76" s="246">
        <v>-67</v>
      </c>
      <c r="D76" s="246">
        <v>-67</v>
      </c>
      <c r="E76" s="246">
        <v>0</v>
      </c>
      <c r="F76" s="246"/>
      <c r="G76" s="246"/>
      <c r="H76" s="246"/>
      <c r="I76" s="246"/>
      <c r="J76" s="246"/>
      <c r="K76" s="246"/>
      <c r="L76" s="246">
        <v>0</v>
      </c>
      <c r="M76" s="246"/>
      <c r="N76" s="246"/>
      <c r="O76" s="246"/>
      <c r="P76" s="246">
        <v>0</v>
      </c>
      <c r="Q76" s="246"/>
      <c r="R76" s="246"/>
      <c r="S76" s="246">
        <v>0</v>
      </c>
      <c r="T76" s="246"/>
      <c r="U76" s="246">
        <f t="shared" si="1"/>
        <v>-274</v>
      </c>
      <c r="V76" s="246"/>
      <c r="W76" s="245">
        <v>40.700000000000003</v>
      </c>
      <c r="X76" s="245">
        <v>0</v>
      </c>
      <c r="Y76" s="237">
        <f t="shared" si="2"/>
        <v>-233.3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>
        <v>-67</v>
      </c>
      <c r="D77" s="246">
        <v>-67</v>
      </c>
      <c r="E77" s="246">
        <v>0</v>
      </c>
      <c r="F77" s="246"/>
      <c r="G77" s="246"/>
      <c r="H77" s="246"/>
      <c r="I77" s="246"/>
      <c r="J77" s="246"/>
      <c r="K77" s="246"/>
      <c r="L77" s="246">
        <v>0</v>
      </c>
      <c r="M77" s="246"/>
      <c r="N77" s="246"/>
      <c r="O77" s="246"/>
      <c r="P77" s="246">
        <v>0</v>
      </c>
      <c r="Q77" s="246"/>
      <c r="R77" s="246"/>
      <c r="S77" s="246">
        <v>0</v>
      </c>
      <c r="T77" s="246"/>
      <c r="U77" s="246">
        <f t="shared" si="1"/>
        <v>-134</v>
      </c>
      <c r="V77" s="246"/>
      <c r="W77" s="245">
        <v>40.700000000000003</v>
      </c>
      <c r="X77" s="245">
        <v>-140</v>
      </c>
      <c r="Y77" s="237">
        <f t="shared" si="2"/>
        <v>-233.3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>
        <v>-67</v>
      </c>
      <c r="D78" s="246">
        <v>-67</v>
      </c>
      <c r="E78" s="246">
        <v>0</v>
      </c>
      <c r="F78" s="246"/>
      <c r="G78" s="246"/>
      <c r="H78" s="246"/>
      <c r="I78" s="246"/>
      <c r="J78" s="246"/>
      <c r="K78" s="246"/>
      <c r="L78" s="246">
        <v>0</v>
      </c>
      <c r="M78" s="246"/>
      <c r="N78" s="246"/>
      <c r="O78" s="246"/>
      <c r="P78" s="246">
        <v>0</v>
      </c>
      <c r="Q78" s="246"/>
      <c r="R78" s="246"/>
      <c r="S78" s="246">
        <v>0</v>
      </c>
      <c r="T78" s="246"/>
      <c r="U78" s="246">
        <f t="shared" si="1"/>
        <v>-134</v>
      </c>
      <c r="V78" s="246"/>
      <c r="W78" s="245">
        <v>40.700000000000003</v>
      </c>
      <c r="X78" s="245">
        <v>-140</v>
      </c>
      <c r="Y78" s="237">
        <f t="shared" si="2"/>
        <v>-233.3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>
        <v>-67</v>
      </c>
      <c r="D79" s="246">
        <v>-67</v>
      </c>
      <c r="E79" s="246">
        <v>0</v>
      </c>
      <c r="F79" s="246"/>
      <c r="G79" s="246"/>
      <c r="H79" s="246"/>
      <c r="I79" s="246"/>
      <c r="J79" s="246"/>
      <c r="K79" s="246"/>
      <c r="L79" s="246">
        <v>0</v>
      </c>
      <c r="M79" s="246"/>
      <c r="N79" s="246"/>
      <c r="O79" s="246"/>
      <c r="P79" s="246">
        <v>0</v>
      </c>
      <c r="Q79" s="246"/>
      <c r="R79" s="246"/>
      <c r="S79" s="246">
        <v>0</v>
      </c>
      <c r="T79" s="246"/>
      <c r="U79" s="246">
        <f t="shared" si="1"/>
        <v>-134</v>
      </c>
      <c r="V79" s="246"/>
      <c r="W79" s="245">
        <v>25</v>
      </c>
      <c r="X79" s="245">
        <v>-140</v>
      </c>
      <c r="Y79" s="237">
        <f t="shared" si="2"/>
        <v>-249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>
        <v>-67</v>
      </c>
      <c r="D80" s="246">
        <v>-67</v>
      </c>
      <c r="E80" s="246">
        <v>0</v>
      </c>
      <c r="F80" s="246"/>
      <c r="G80" s="246"/>
      <c r="H80" s="246"/>
      <c r="I80" s="246"/>
      <c r="J80" s="246"/>
      <c r="K80" s="246"/>
      <c r="L80" s="246">
        <v>0</v>
      </c>
      <c r="M80" s="246"/>
      <c r="N80" s="246"/>
      <c r="O80" s="246"/>
      <c r="P80" s="246">
        <v>0</v>
      </c>
      <c r="Q80" s="246"/>
      <c r="R80" s="246"/>
      <c r="S80" s="246">
        <v>0</v>
      </c>
      <c r="T80" s="246"/>
      <c r="U80" s="246">
        <f t="shared" si="1"/>
        <v>-134</v>
      </c>
      <c r="V80" s="246"/>
      <c r="W80" s="245">
        <v>25</v>
      </c>
      <c r="X80" s="245">
        <v>-140</v>
      </c>
      <c r="Y80" s="237">
        <f t="shared" si="2"/>
        <v>-249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>
        <v>-67</v>
      </c>
      <c r="D81" s="246">
        <v>-67</v>
      </c>
      <c r="E81" s="246">
        <v>0</v>
      </c>
      <c r="F81" s="246"/>
      <c r="G81" s="246"/>
      <c r="H81" s="246"/>
      <c r="I81" s="246"/>
      <c r="J81" s="246"/>
      <c r="K81" s="246"/>
      <c r="L81" s="246">
        <v>0</v>
      </c>
      <c r="M81" s="246"/>
      <c r="N81" s="246"/>
      <c r="O81" s="246"/>
      <c r="P81" s="246">
        <v>0</v>
      </c>
      <c r="Q81" s="246"/>
      <c r="R81" s="246"/>
      <c r="S81" s="246">
        <v>0</v>
      </c>
      <c r="T81" s="246"/>
      <c r="U81" s="246">
        <f t="shared" si="1"/>
        <v>-134</v>
      </c>
      <c r="V81" s="246"/>
      <c r="W81" s="245">
        <v>25</v>
      </c>
      <c r="X81" s="245">
        <v>-140</v>
      </c>
      <c r="Y81" s="237">
        <f t="shared" si="2"/>
        <v>-249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>
        <v>-67</v>
      </c>
      <c r="D82" s="246">
        <v>-67</v>
      </c>
      <c r="E82" s="246">
        <v>0</v>
      </c>
      <c r="F82" s="246"/>
      <c r="G82" s="246"/>
      <c r="H82" s="246"/>
      <c r="I82" s="246"/>
      <c r="J82" s="246"/>
      <c r="K82" s="246"/>
      <c r="L82" s="246">
        <v>0</v>
      </c>
      <c r="M82" s="246"/>
      <c r="N82" s="246"/>
      <c r="O82" s="246"/>
      <c r="P82" s="246">
        <v>0</v>
      </c>
      <c r="Q82" s="246"/>
      <c r="R82" s="246"/>
      <c r="S82" s="246">
        <v>0</v>
      </c>
      <c r="T82" s="246"/>
      <c r="U82" s="246">
        <f t="shared" si="1"/>
        <v>-134</v>
      </c>
      <c r="V82" s="246"/>
      <c r="W82" s="245">
        <v>25</v>
      </c>
      <c r="X82" s="245">
        <v>-140</v>
      </c>
      <c r="Y82" s="237">
        <f t="shared" si="2"/>
        <v>-249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>
        <v>-67</v>
      </c>
      <c r="D83" s="246">
        <v>-67</v>
      </c>
      <c r="E83" s="246">
        <v>0</v>
      </c>
      <c r="F83" s="246"/>
      <c r="G83" s="246"/>
      <c r="H83" s="246"/>
      <c r="I83" s="246"/>
      <c r="J83" s="246"/>
      <c r="K83" s="246"/>
      <c r="L83" s="246">
        <v>0</v>
      </c>
      <c r="M83" s="246"/>
      <c r="N83" s="246"/>
      <c r="O83" s="246"/>
      <c r="P83" s="246">
        <v>0</v>
      </c>
      <c r="Q83" s="246"/>
      <c r="R83" s="246"/>
      <c r="S83" s="246">
        <v>0</v>
      </c>
      <c r="T83" s="246"/>
      <c r="U83" s="246">
        <f t="shared" si="1"/>
        <v>-134</v>
      </c>
      <c r="V83" s="246"/>
      <c r="W83" s="245">
        <v>25</v>
      </c>
      <c r="X83" s="245">
        <v>-140</v>
      </c>
      <c r="Y83" s="237">
        <f t="shared" si="2"/>
        <v>-249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>
        <v>-67</v>
      </c>
      <c r="D84" s="246">
        <v>-67</v>
      </c>
      <c r="E84" s="246">
        <v>0</v>
      </c>
      <c r="F84" s="246"/>
      <c r="G84" s="246"/>
      <c r="H84" s="246"/>
      <c r="I84" s="246"/>
      <c r="J84" s="246"/>
      <c r="K84" s="246"/>
      <c r="L84" s="246">
        <v>0</v>
      </c>
      <c r="M84" s="246"/>
      <c r="N84" s="246"/>
      <c r="O84" s="246"/>
      <c r="P84" s="246">
        <v>0</v>
      </c>
      <c r="Q84" s="246"/>
      <c r="R84" s="246"/>
      <c r="S84" s="246">
        <v>0</v>
      </c>
      <c r="T84" s="246"/>
      <c r="U84" s="246">
        <f t="shared" si="1"/>
        <v>-134</v>
      </c>
      <c r="V84" s="246"/>
      <c r="W84" s="245">
        <v>25</v>
      </c>
      <c r="X84" s="245">
        <v>-140</v>
      </c>
      <c r="Y84" s="237">
        <f t="shared" si="2"/>
        <v>-249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>
        <v>-67</v>
      </c>
      <c r="D85" s="246">
        <v>-67</v>
      </c>
      <c r="E85" s="246">
        <v>0</v>
      </c>
      <c r="F85" s="246"/>
      <c r="G85" s="246"/>
      <c r="H85" s="246"/>
      <c r="I85" s="246"/>
      <c r="J85" s="246"/>
      <c r="K85" s="246"/>
      <c r="L85" s="246">
        <v>0</v>
      </c>
      <c r="M85" s="246"/>
      <c r="N85" s="246"/>
      <c r="O85" s="246"/>
      <c r="P85" s="246">
        <v>0</v>
      </c>
      <c r="Q85" s="246"/>
      <c r="R85" s="246"/>
      <c r="S85" s="246">
        <v>0</v>
      </c>
      <c r="T85" s="246"/>
      <c r="U85" s="246">
        <f t="shared" si="1"/>
        <v>-134</v>
      </c>
      <c r="V85" s="246"/>
      <c r="W85" s="245">
        <v>25</v>
      </c>
      <c r="X85" s="245">
        <v>-140</v>
      </c>
      <c r="Y85" s="237">
        <f t="shared" si="2"/>
        <v>-249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>
        <v>-67</v>
      </c>
      <c r="D86" s="246">
        <v>-67</v>
      </c>
      <c r="E86" s="246">
        <v>0</v>
      </c>
      <c r="F86" s="246"/>
      <c r="G86" s="246"/>
      <c r="H86" s="246"/>
      <c r="I86" s="246"/>
      <c r="J86" s="246"/>
      <c r="K86" s="246"/>
      <c r="L86" s="246">
        <v>0</v>
      </c>
      <c r="M86" s="246"/>
      <c r="N86" s="246"/>
      <c r="O86" s="246"/>
      <c r="P86" s="246">
        <v>0</v>
      </c>
      <c r="Q86" s="246"/>
      <c r="R86" s="246"/>
      <c r="S86" s="246">
        <v>-50</v>
      </c>
      <c r="T86" s="246"/>
      <c r="U86" s="246">
        <f t="shared" si="1"/>
        <v>-184</v>
      </c>
      <c r="V86" s="246"/>
      <c r="W86" s="245">
        <v>25</v>
      </c>
      <c r="X86" s="245">
        <v>-140</v>
      </c>
      <c r="Y86" s="237">
        <f t="shared" si="2"/>
        <v>-299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>
        <v>-67</v>
      </c>
      <c r="D87" s="246">
        <v>-67</v>
      </c>
      <c r="E87" s="246">
        <v>0</v>
      </c>
      <c r="F87" s="246"/>
      <c r="G87" s="246"/>
      <c r="H87" s="246"/>
      <c r="I87" s="246"/>
      <c r="J87" s="246"/>
      <c r="K87" s="246"/>
      <c r="L87" s="246">
        <v>0</v>
      </c>
      <c r="M87" s="246"/>
      <c r="N87" s="246"/>
      <c r="O87" s="246"/>
      <c r="P87" s="246">
        <v>0</v>
      </c>
      <c r="Q87" s="246"/>
      <c r="R87" s="246"/>
      <c r="S87" s="246">
        <v>-75</v>
      </c>
      <c r="T87" s="246"/>
      <c r="U87" s="246">
        <f t="shared" si="1"/>
        <v>-209</v>
      </c>
      <c r="V87" s="246"/>
      <c r="W87" s="245">
        <v>25</v>
      </c>
      <c r="X87" s="245">
        <v>-140</v>
      </c>
      <c r="Y87" s="237">
        <f t="shared" si="2"/>
        <v>-324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>
        <v>-67</v>
      </c>
      <c r="D88" s="246">
        <v>-67</v>
      </c>
      <c r="E88" s="246">
        <v>0</v>
      </c>
      <c r="F88" s="246"/>
      <c r="G88" s="246"/>
      <c r="H88" s="246"/>
      <c r="I88" s="246"/>
      <c r="J88" s="246"/>
      <c r="K88" s="246"/>
      <c r="L88" s="246">
        <v>0</v>
      </c>
      <c r="M88" s="246"/>
      <c r="N88" s="246"/>
      <c r="O88" s="246"/>
      <c r="P88" s="246">
        <v>-50</v>
      </c>
      <c r="Q88" s="246"/>
      <c r="R88" s="246"/>
      <c r="S88" s="246">
        <v>-75</v>
      </c>
      <c r="T88" s="246"/>
      <c r="U88" s="246">
        <f t="shared" si="1"/>
        <v>-259</v>
      </c>
      <c r="V88" s="246"/>
      <c r="W88" s="245">
        <v>25</v>
      </c>
      <c r="X88" s="245">
        <v>-140</v>
      </c>
      <c r="Y88" s="237">
        <f t="shared" si="2"/>
        <v>-374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>
        <v>-67</v>
      </c>
      <c r="D89" s="246">
        <v>-67</v>
      </c>
      <c r="E89" s="246">
        <v>0</v>
      </c>
      <c r="F89" s="246"/>
      <c r="G89" s="246"/>
      <c r="H89" s="246"/>
      <c r="I89" s="246"/>
      <c r="J89" s="246"/>
      <c r="K89" s="246"/>
      <c r="L89" s="246">
        <v>0</v>
      </c>
      <c r="M89" s="246"/>
      <c r="N89" s="246"/>
      <c r="O89" s="246"/>
      <c r="P89" s="246">
        <v>-80</v>
      </c>
      <c r="Q89" s="246"/>
      <c r="R89" s="246"/>
      <c r="S89" s="246">
        <v>-75</v>
      </c>
      <c r="T89" s="246"/>
      <c r="U89" s="246">
        <f t="shared" si="1"/>
        <v>-289</v>
      </c>
      <c r="V89" s="246"/>
      <c r="W89" s="245">
        <v>25</v>
      </c>
      <c r="X89" s="245">
        <v>-140</v>
      </c>
      <c r="Y89" s="237">
        <f t="shared" si="2"/>
        <v>-404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>
        <v>-67</v>
      </c>
      <c r="D90" s="246">
        <v>-67</v>
      </c>
      <c r="E90" s="246">
        <v>0</v>
      </c>
      <c r="F90" s="246"/>
      <c r="G90" s="246"/>
      <c r="H90" s="246"/>
      <c r="I90" s="246"/>
      <c r="J90" s="246"/>
      <c r="K90" s="246"/>
      <c r="L90" s="246">
        <v>-34.9</v>
      </c>
      <c r="M90" s="246"/>
      <c r="N90" s="246"/>
      <c r="O90" s="246"/>
      <c r="P90" s="246">
        <v>-80</v>
      </c>
      <c r="Q90" s="246"/>
      <c r="R90" s="246"/>
      <c r="S90" s="246">
        <v>-75</v>
      </c>
      <c r="T90" s="246"/>
      <c r="U90" s="246">
        <f t="shared" si="1"/>
        <v>-323.89999999999998</v>
      </c>
      <c r="V90" s="246"/>
      <c r="W90" s="245">
        <v>25</v>
      </c>
      <c r="X90" s="245">
        <v>-140</v>
      </c>
      <c r="Y90" s="237">
        <f t="shared" si="2"/>
        <v>-438.9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>
        <v>-67</v>
      </c>
      <c r="D91" s="246">
        <v>-67</v>
      </c>
      <c r="E91" s="246">
        <v>-51</v>
      </c>
      <c r="F91" s="246"/>
      <c r="G91" s="246"/>
      <c r="H91" s="246"/>
      <c r="I91" s="246"/>
      <c r="J91" s="246"/>
      <c r="K91" s="246"/>
      <c r="L91" s="246">
        <v>-34.9</v>
      </c>
      <c r="M91" s="246"/>
      <c r="N91" s="246"/>
      <c r="O91" s="246"/>
      <c r="P91" s="246">
        <v>-80</v>
      </c>
      <c r="Q91" s="246"/>
      <c r="R91" s="246"/>
      <c r="S91" s="246">
        <v>-75</v>
      </c>
      <c r="T91" s="246"/>
      <c r="U91" s="246">
        <f t="shared" si="1"/>
        <v>-374.9</v>
      </c>
      <c r="V91" s="246"/>
      <c r="W91" s="245">
        <v>25</v>
      </c>
      <c r="X91" s="245">
        <v>-140</v>
      </c>
      <c r="Y91" s="237">
        <f t="shared" si="2"/>
        <v>-489.9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>
        <v>-67</v>
      </c>
      <c r="D92" s="246">
        <v>-67</v>
      </c>
      <c r="E92" s="246">
        <v>-51</v>
      </c>
      <c r="F92" s="246"/>
      <c r="G92" s="246"/>
      <c r="H92" s="246"/>
      <c r="I92" s="246"/>
      <c r="J92" s="246"/>
      <c r="K92" s="246"/>
      <c r="L92" s="246">
        <v>-34.9</v>
      </c>
      <c r="M92" s="246"/>
      <c r="N92" s="246"/>
      <c r="O92" s="246"/>
      <c r="P92" s="246">
        <v>-80</v>
      </c>
      <c r="Q92" s="246"/>
      <c r="R92" s="246"/>
      <c r="S92" s="246">
        <v>-75</v>
      </c>
      <c r="T92" s="246"/>
      <c r="U92" s="246">
        <f t="shared" si="1"/>
        <v>-374.9</v>
      </c>
      <c r="V92" s="246"/>
      <c r="W92" s="245">
        <v>25</v>
      </c>
      <c r="X92" s="245">
        <v>-140</v>
      </c>
      <c r="Y92" s="237">
        <f t="shared" si="2"/>
        <v>-489.9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>
        <v>-67</v>
      </c>
      <c r="D93" s="246">
        <v>-67</v>
      </c>
      <c r="E93" s="246">
        <v>-51</v>
      </c>
      <c r="F93" s="246"/>
      <c r="G93" s="246"/>
      <c r="H93" s="246"/>
      <c r="I93" s="246"/>
      <c r="J93" s="246"/>
      <c r="K93" s="246"/>
      <c r="L93" s="246">
        <v>-34.9</v>
      </c>
      <c r="M93" s="246"/>
      <c r="N93" s="246"/>
      <c r="O93" s="246"/>
      <c r="P93" s="246">
        <v>-80</v>
      </c>
      <c r="Q93" s="246"/>
      <c r="R93" s="246"/>
      <c r="S93" s="246">
        <v>-75</v>
      </c>
      <c r="T93" s="246"/>
      <c r="U93" s="246">
        <f t="shared" si="1"/>
        <v>-374.9</v>
      </c>
      <c r="V93" s="246"/>
      <c r="W93" s="245">
        <v>25</v>
      </c>
      <c r="X93" s="245">
        <v>-140</v>
      </c>
      <c r="Y93" s="237">
        <f t="shared" si="2"/>
        <v>-489.9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>
        <v>-67</v>
      </c>
      <c r="D94" s="246">
        <v>-67</v>
      </c>
      <c r="E94" s="246">
        <v>-51</v>
      </c>
      <c r="F94" s="246"/>
      <c r="G94" s="246"/>
      <c r="H94" s="246"/>
      <c r="I94" s="246"/>
      <c r="J94" s="246"/>
      <c r="K94" s="246"/>
      <c r="L94" s="246">
        <v>-34.9</v>
      </c>
      <c r="M94" s="246"/>
      <c r="N94" s="246"/>
      <c r="O94" s="246"/>
      <c r="P94" s="246">
        <v>-80</v>
      </c>
      <c r="Q94" s="246"/>
      <c r="R94" s="246"/>
      <c r="S94" s="246">
        <v>-75</v>
      </c>
      <c r="T94" s="246"/>
      <c r="U94" s="246">
        <f t="shared" si="1"/>
        <v>-374.9</v>
      </c>
      <c r="V94" s="246"/>
      <c r="W94" s="245">
        <v>25</v>
      </c>
      <c r="X94" s="245">
        <v>-140</v>
      </c>
      <c r="Y94" s="237">
        <f t="shared" si="2"/>
        <v>-489.9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>
        <v>-67</v>
      </c>
      <c r="D95" s="246">
        <v>-67</v>
      </c>
      <c r="E95" s="246">
        <v>-51</v>
      </c>
      <c r="F95" s="246"/>
      <c r="G95" s="246"/>
      <c r="H95" s="246"/>
      <c r="I95" s="246"/>
      <c r="J95" s="246"/>
      <c r="K95" s="246"/>
      <c r="L95" s="246">
        <v>-34.9</v>
      </c>
      <c r="M95" s="246"/>
      <c r="N95" s="246"/>
      <c r="O95" s="246"/>
      <c r="P95" s="246">
        <v>-80</v>
      </c>
      <c r="Q95" s="246"/>
      <c r="R95" s="246"/>
      <c r="S95" s="246">
        <v>-75</v>
      </c>
      <c r="T95" s="246"/>
      <c r="U95" s="246">
        <f t="shared" si="1"/>
        <v>-374.9</v>
      </c>
      <c r="V95" s="246"/>
      <c r="W95" s="245">
        <v>25</v>
      </c>
      <c r="X95" s="245">
        <v>-140</v>
      </c>
      <c r="Y95" s="237">
        <f t="shared" si="2"/>
        <v>-489.9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>
        <v>-67</v>
      </c>
      <c r="D96" s="246">
        <v>-67</v>
      </c>
      <c r="E96" s="246">
        <v>-51</v>
      </c>
      <c r="F96" s="246"/>
      <c r="G96" s="246"/>
      <c r="H96" s="246"/>
      <c r="I96" s="246"/>
      <c r="J96" s="246"/>
      <c r="K96" s="246"/>
      <c r="L96" s="246">
        <v>-34.9</v>
      </c>
      <c r="M96" s="246"/>
      <c r="N96" s="246"/>
      <c r="O96" s="246"/>
      <c r="P96" s="246">
        <v>-80</v>
      </c>
      <c r="Q96" s="246"/>
      <c r="R96" s="246"/>
      <c r="S96" s="246">
        <v>-75</v>
      </c>
      <c r="T96" s="246"/>
      <c r="U96" s="246">
        <f t="shared" si="1"/>
        <v>-374.9</v>
      </c>
      <c r="V96" s="246"/>
      <c r="W96" s="245">
        <v>25</v>
      </c>
      <c r="X96" s="245">
        <v>-140</v>
      </c>
      <c r="Y96" s="237">
        <f t="shared" si="2"/>
        <v>-489.9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>
        <v>-67</v>
      </c>
      <c r="D97" s="246">
        <v>-67</v>
      </c>
      <c r="E97" s="246">
        <v>-51</v>
      </c>
      <c r="F97" s="246"/>
      <c r="G97" s="246"/>
      <c r="H97" s="246"/>
      <c r="I97" s="246"/>
      <c r="J97" s="246"/>
      <c r="K97" s="246"/>
      <c r="L97" s="246">
        <v>-34.9</v>
      </c>
      <c r="M97" s="246"/>
      <c r="N97" s="246"/>
      <c r="O97" s="246"/>
      <c r="P97" s="246">
        <v>-80</v>
      </c>
      <c r="Q97" s="246"/>
      <c r="R97" s="246"/>
      <c r="S97" s="246">
        <v>-75</v>
      </c>
      <c r="T97" s="246"/>
      <c r="U97" s="246">
        <f t="shared" si="1"/>
        <v>-374.9</v>
      </c>
      <c r="V97" s="246"/>
      <c r="W97" s="245">
        <v>25</v>
      </c>
      <c r="X97" s="245">
        <v>-140</v>
      </c>
      <c r="Y97" s="237">
        <f t="shared" si="2"/>
        <v>-489.9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>
        <v>-67</v>
      </c>
      <c r="D98" s="246">
        <v>-67</v>
      </c>
      <c r="E98" s="246">
        <v>-51</v>
      </c>
      <c r="F98" s="246"/>
      <c r="G98" s="246"/>
      <c r="H98" s="246"/>
      <c r="I98" s="246"/>
      <c r="J98" s="246"/>
      <c r="K98" s="246"/>
      <c r="L98" s="246">
        <v>-34.9</v>
      </c>
      <c r="M98" s="246"/>
      <c r="N98" s="246"/>
      <c r="O98" s="246"/>
      <c r="P98" s="246">
        <v>-80</v>
      </c>
      <c r="Q98" s="246"/>
      <c r="R98" s="246"/>
      <c r="S98" s="246">
        <v>-75</v>
      </c>
      <c r="T98" s="246"/>
      <c r="U98" s="246">
        <f t="shared" si="1"/>
        <v>-374.9</v>
      </c>
      <c r="V98" s="246"/>
      <c r="W98" s="245">
        <v>25</v>
      </c>
      <c r="X98" s="245">
        <v>-140</v>
      </c>
      <c r="Y98" s="237">
        <f t="shared" si="2"/>
        <v>-489.9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2026-05-19T17:15:02Z</dcterms:modified>
</cp:coreProperties>
</file>