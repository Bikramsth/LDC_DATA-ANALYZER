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0" i="76" l="1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E124" i="76" l="1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V90" i="76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V87" i="76"/>
  <c r="BT87" i="76"/>
  <c r="BN87" i="76"/>
  <c r="BM87" i="76"/>
  <c r="AI87" i="76"/>
  <c r="AH87" i="76"/>
  <c r="BV86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BG22" i="76" l="1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F170" i="76" s="1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169" i="76"/>
  <c r="AF274" i="76" s="1"/>
  <c r="AF161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<sst xmlns="http://schemas.openxmlformats.org/spreadsheetml/2006/main" count="1885" uniqueCount="418">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</sst>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97" sqref="A97:XFD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Q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52" sqref="AE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1768.5999999999995</v>
      </c>
      <c r="AE7" s="35">
        <f t="shared" si="1"/>
        <v>1691.8999999999996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4"/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4"/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4"/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4"/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4"/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/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/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2007.7999999999995</v>
      </c>
      <c r="BI22" s="60">
        <f t="shared" si="16"/>
        <v>2092.3999999999996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/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/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1768.5999999999995</v>
      </c>
      <c r="BI25" s="60">
        <f t="shared" si="19"/>
        <v>1691.8999999999996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/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/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/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/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/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E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" si="31">SUM(AE11:AE69)</f>
        <v>1061.6999999999998</v>
      </c>
      <c r="AF71" s="70">
        <f t="shared" si="22"/>
        <v>170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/>
      <c r="AG73" s="64">
        <v>111</v>
      </c>
      <c r="AH73" s="46">
        <f t="shared" si="2"/>
        <v>70.900000000000006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/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/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/>
      <c r="AG77" s="78">
        <v>14.8</v>
      </c>
      <c r="AH77" s="46">
        <f t="shared" si="32"/>
        <v>13.4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" si="46">SUM(AE72:AE77)</f>
        <v>560.40000000000009</v>
      </c>
      <c r="AF78" s="70">
        <f t="shared" si="37"/>
        <v>0</v>
      </c>
      <c r="AG78" s="80">
        <f t="shared" si="37"/>
        <v>706.4</v>
      </c>
      <c r="AH78" s="46">
        <f t="shared" si="32"/>
        <v>602.62</v>
      </c>
      <c r="AI78" s="47">
        <f t="shared" si="3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/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4"/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4"/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/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3"/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/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0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/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/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0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/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0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/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" si="64">SUM(AE79:AE91)</f>
        <v>347.8</v>
      </c>
      <c r="AF92" s="70">
        <f t="shared" si="55"/>
        <v>2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/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/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/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" si="73">AE93+AE94+AE95</f>
        <v>30</v>
      </c>
      <c r="AF96" s="70">
        <f t="shared" si="68"/>
        <v>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/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/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/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/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/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/>
      <c r="AG102" s="89"/>
      <c r="AH102" s="46">
        <f t="shared" si="32"/>
        <v>69.5</v>
      </c>
      <c r="AI102" s="47">
        <f t="shared" si="33"/>
        <v>21.5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" si="82">SUMIF(AE97:AE107,"&gt;0")</f>
        <v>92.5</v>
      </c>
      <c r="AF108" s="70">
        <f t="shared" si="77"/>
        <v>0</v>
      </c>
      <c r="AG108" s="104">
        <f>SUM(AG97:AG107)</f>
        <v>0</v>
      </c>
      <c r="AH108" s="46">
        <f t="shared" si="32"/>
        <v>271.39999999999998</v>
      </c>
      <c r="AI108" s="47">
        <f t="shared" si="33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" si="91">AE71+AE78+AE96+AE92+AE108+AE112</f>
        <v>2092.3999999999996</v>
      </c>
      <c r="AF113" s="108">
        <f t="shared" si="86"/>
        <v>172</v>
      </c>
      <c r="AG113" s="80">
        <f t="shared" si="86"/>
        <v>3169.915</v>
      </c>
      <c r="AH113" s="46">
        <f t="shared" si="32"/>
        <v>2187.1</v>
      </c>
      <c r="AI113" s="47">
        <f t="shared" si="33"/>
        <v>172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24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2007.7999999999995</v>
      </c>
      <c r="AE115" s="108">
        <f t="shared" ref="AE115" si="100">AE113+AE114</f>
        <v>2092.3999999999996</v>
      </c>
      <c r="AF115" s="108">
        <f t="shared" si="95"/>
        <v>172</v>
      </c>
      <c r="AG115" s="104">
        <f>AG112+AG108+AG96+AG92+AG71+AG114</f>
        <v>2463.5149999999999</v>
      </c>
      <c r="AH115" s="46">
        <f t="shared" si="32"/>
        <v>2187.1</v>
      </c>
      <c r="AI115" s="47">
        <f t="shared" si="33"/>
        <v>172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1768.5999999999995</v>
      </c>
      <c r="AE116" s="108">
        <f t="shared" ref="AE116" si="109">AE115-(AE123)</f>
        <v>1691.8999999999996</v>
      </c>
      <c r="AF116" s="108">
        <f t="shared" si="104"/>
        <v>172</v>
      </c>
      <c r="AG116" s="104"/>
      <c r="AH116" s="46">
        <f t="shared" si="32"/>
        <v>1868.6100000000001</v>
      </c>
      <c r="AI116" s="47">
        <f t="shared" si="33"/>
        <v>172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" si="118">IF(AE97&lt;0,AE97*-1,0)</f>
        <v>400.5</v>
      </c>
      <c r="AF117" s="93">
        <f t="shared" si="113"/>
        <v>0</v>
      </c>
      <c r="AG117" s="61"/>
      <c r="AH117" s="46">
        <f t="shared" si="32"/>
        <v>500</v>
      </c>
      <c r="AI117" s="47">
        <f t="shared" si="3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" si="125">IF(AE98&lt;0,AE98*-1,0)</f>
        <v>0</v>
      </c>
      <c r="AF118" s="93">
        <f t="shared" si="113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" si="132">IF(AE99&lt;0,AE99*-1,0)</f>
        <v>0</v>
      </c>
      <c r="AF119" s="93">
        <f t="shared" si="113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" si="139">IF(AE100&lt;0,AE100*-1,0)</f>
        <v>0</v>
      </c>
      <c r="AF120" s="93">
        <f t="shared" si="113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" si="146">IF(AE101&lt;0,AE101*-1,0)</f>
        <v>0</v>
      </c>
      <c r="AF121" s="93">
        <f t="shared" si="113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" si="153">IF(AE102&lt;0,AE102*-1,0)</f>
        <v>0</v>
      </c>
      <c r="AF122" s="93">
        <f t="shared" si="11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" si="162">SUM(AE117:AE122)</f>
        <v>400.5</v>
      </c>
      <c r="AF123" s="70">
        <f t="shared" si="157"/>
        <v>0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" si="171">AE108-AE123</f>
        <v>-308</v>
      </c>
      <c r="AF124" s="70">
        <f t="shared" si="166"/>
        <v>0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/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/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/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/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/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/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0"/>
        <v>0.94</v>
      </c>
      <c r="AG135" s="127"/>
      <c r="AH135" s="46">
        <f t="shared" si="32"/>
        <v>359.64</v>
      </c>
      <c r="AI135" s="47">
        <f t="shared" si="33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/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/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/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/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/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/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/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/>
      <c r="AG146" s="138"/>
      <c r="AH146" s="46">
        <f t="shared" ref="AH146:AH158" si="183">MAX(B146:AF146)</f>
        <v>-57.2</v>
      </c>
      <c r="AI146" s="47">
        <f t="shared" ref="AI146:AI158" si="184">MIN(B146:AF146)</f>
        <v>-600.29999999999995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/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/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/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/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3"/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9"/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9"/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E166" si="188">AC161</f>
        <v>0.3</v>
      </c>
      <c r="AE161" s="159">
        <f t="shared" si="188"/>
        <v>0.3</v>
      </c>
      <c r="AF161" s="159">
        <f t="shared" si="18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" si="194">SUM(AE161:AE166)</f>
        <v>3.54</v>
      </c>
      <c r="AF167" s="167">
        <f t="shared" si="189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E210" si="200">AC169</f>
        <v>0</v>
      </c>
      <c r="AE169" s="159">
        <f t="shared" si="200"/>
        <v>0</v>
      </c>
      <c r="AF169" s="172">
        <f t="shared" si="19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74">
        <f t="shared" si="19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74">
        <f t="shared" si="19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74">
        <f t="shared" si="19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74">
        <f t="shared" si="19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74">
        <f t="shared" si="19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74">
        <f t="shared" si="19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74">
        <f t="shared" si="19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74">
        <f t="shared" si="19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74">
        <f t="shared" si="19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74">
        <f t="shared" si="19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74">
        <f t="shared" si="19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74">
        <f t="shared" si="19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74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74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74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74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74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74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74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74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74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74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74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74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74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74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74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74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74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74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74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74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74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74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74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74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74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74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74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74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74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74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74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74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74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74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74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74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74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74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74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74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74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74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74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74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74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74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74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74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74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74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74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74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74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74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74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74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74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74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74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74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74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74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74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74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74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74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74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74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74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74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74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74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74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74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74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74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74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74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74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74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74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74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74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74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74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74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74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74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74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F12:AF13 B9:AF10 C152:L152 C154:L159 B153:L153 B76:F90 B113:F115 B108:F108 B117:F124 B93:F96 G137:L151 G134:R134 G117:R130 AF85:AF90 S117:AF134 M137:AF159 G79:AE90 G76:AF77 B72:AE72 G93:AF115">
    <cfRule type="expression" dxfId="354" priority="106">
      <formula>B$9&gt;=20/24</formula>
    </cfRule>
  </conditionalFormatting>
  <conditionalFormatting sqref="B9:AF10 AF12:AF13 C152:L152 C154:L159 B153:L153 B76:F90 B113:F115 B108:F108 B117:F124 B93:F96 G137:L151 G134:R134 G117:R130 AF85:AF90 S117:AF134 M137:AF159 G79:AE90 G76:AF77 B72:AE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F14:AF53 B29:AE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F12:AF13 AF76:AF77 AF78:AG78 AF80:AF95 AF69:AF70 AF96:AG96 B71:AG71 B69:AE69 B76:AE96">
    <cfRule type="expression" dxfId="326" priority="105">
      <formula>B12&gt;$AG12*1</formula>
    </cfRule>
  </conditionalFormatting>
  <conditionalFormatting sqref="G79:AE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AE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AF76:AF78 G78:AE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AF73:AF75">
    <cfRule type="expression" dxfId="313" priority="35">
      <formula>AF$9&gt;=20/24</formula>
    </cfRule>
    <cfRule type="expression" dxfId="312" priority="36">
      <formula>AND(AF$9&gt;=14/24,AF$9&lt;20/24)</formula>
    </cfRule>
    <cfRule type="expression" dxfId="311" priority="37">
      <formula>AND(AF$9&gt;=8/24,AF$9&lt;14/24)</formula>
    </cfRule>
    <cfRule type="expression" dxfId="310" priority="38">
      <formula>AF$9&lt;8/24</formula>
    </cfRule>
  </conditionalFormatting>
  <conditionalFormatting sqref="G79:AE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AE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285" priority="44">
      <formula>AF$9&gt;=20/24</formula>
    </cfRule>
    <cfRule type="expression" dxfId="284" priority="45">
      <formula>AND(AF$9&gt;=14/24,AF$9&lt;20/24)</formula>
    </cfRule>
    <cfRule type="expression" dxfId="283" priority="46">
      <formula>AND(AF$9&gt;=8/24,AF$9&lt;14/24)</formula>
    </cfRule>
    <cfRule type="expression" dxfId="282" priority="47">
      <formula>AF$9&lt;8/24</formula>
    </cfRule>
  </conditionalFormatting>
  <conditionalFormatting sqref="AF11 AF66:AF69 B54:AF62 B66:AE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F11">
    <cfRule type="expression" dxfId="275" priority="120">
      <formula>AF$9&gt;=20/24</formula>
    </cfRule>
    <cfRule type="expression" dxfId="274" priority="121">
      <formula>AND(AF$9&gt;=14/24,AF$9&lt;20/24)</formula>
    </cfRule>
    <cfRule type="expression" dxfId="273" priority="122">
      <formula>AND(AF$9&gt;=8/24,AF$9&lt;14/24)</formula>
    </cfRule>
    <cfRule type="expression" dxfId="272" priority="123">
      <formula>AF$9&lt;8/24</formula>
    </cfRule>
  </conditionalFormatting>
  <conditionalFormatting sqref="AF79">
    <cfRule type="expression" dxfId="271" priority="195">
      <formula>AF79&gt;$AG80*1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AE13">
    <cfRule type="expression" dxfId="204" priority="20">
      <formula>B$9&gt;=20/24</formula>
    </cfRule>
  </conditionalFormatting>
  <conditionalFormatting sqref="B137:B152 B154:B159 B97:F107 C137:F151 B109:F112 B125:F134 G131:R133 B11:AE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E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E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2026-05-18T16:13:01Z</dcterms:modified>
</cp:coreProperties>
</file>