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49" i="83" l="1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K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L123" i="83" s="1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AI89" i="83"/>
  <c r="AH89" i="83"/>
  <c r="BU88" i="83"/>
  <c r="BT88" i="83"/>
  <c r="BQ88" i="83"/>
  <c r="BM88" i="83"/>
  <c r="BL88" i="83"/>
  <c r="BI88" i="83"/>
  <c r="BA88" i="83"/>
  <c r="AI88" i="83"/>
  <c r="AH88" i="83"/>
  <c r="BV87" i="83"/>
  <c r="BS87" i="83"/>
  <c r="BO87" i="83"/>
  <c r="BN87" i="83"/>
  <c r="BK87" i="83"/>
  <c r="BG87" i="83"/>
  <c r="BF87" i="83"/>
  <c r="AI87" i="83"/>
  <c r="AH87" i="83"/>
  <c r="BU86" i="83"/>
  <c r="BQ86" i="83"/>
  <c r="BP86" i="83"/>
  <c r="BM86" i="83"/>
  <c r="BI86" i="83"/>
  <c r="BH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J78" i="83"/>
  <c r="I78" i="83"/>
  <c r="H78" i="83"/>
  <c r="G78" i="83"/>
  <c r="AI78" i="83" s="1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K113" i="83" s="1"/>
  <c r="K115" i="83" s="1"/>
  <c r="K116" i="83" s="1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T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T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T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T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T22" i="83" s="1"/>
  <c r="AT25" i="83" s="1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J123" i="83" l="1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I124" i="83" l="1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<sst xmlns="http://schemas.openxmlformats.org/spreadsheetml/2006/main" count="3583" uniqueCount="435">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</sst>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Fill Time: 13.93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B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9" sqref="J9:J1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85" sqref="J8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2372.12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1784.42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147.80000000000001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101.9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46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692.50000000000011</v>
      </c>
      <c r="C78" s="70">
        <f t="shared" si="25"/>
        <v>692.00000000000011</v>
      </c>
      <c r="D78" s="70">
        <f t="shared" ref="D78:E78" si="26">SUM(D72:D77)</f>
        <v>692.00000000000011</v>
      </c>
      <c r="E78" s="70">
        <f t="shared" si="26"/>
        <v>688.00000000000011</v>
      </c>
      <c r="F78" s="70">
        <f t="shared" ref="D78:AG78" si="27">SUM(F72:F77)</f>
        <v>688.00000000000011</v>
      </c>
      <c r="G78" s="70">
        <f t="shared" si="27"/>
        <v>688.00000000000011</v>
      </c>
      <c r="H78" s="70">
        <f t="shared" si="27"/>
        <v>683.40000000000009</v>
      </c>
      <c r="I78" s="70">
        <f t="shared" si="27"/>
        <v>683.40000000000009</v>
      </c>
      <c r="J78" s="70">
        <f t="shared" si="27"/>
        <v>683.40000000000009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96.1</v>
      </c>
      <c r="AK79" s="49"/>
      <c r="AY79" s="1" t="s">
        <v>99</v>
      </c>
      <c r="AZ79" s="82">
        <f>ROUND(C97,0)</f>
        <v>-636</v>
      </c>
      <c r="BA79" s="81">
        <f t="shared" ref="BA79:BD83" si="28">D97</f>
        <v>-629</v>
      </c>
      <c r="BB79" s="81">
        <f t="shared" si="28"/>
        <v>-642</v>
      </c>
      <c r="BC79" s="81">
        <f t="shared" si="28"/>
        <v>-638.20000000000005</v>
      </c>
      <c r="BD79" s="81">
        <f t="shared" si="28"/>
        <v>-635.70000000000005</v>
      </c>
      <c r="BE79" s="82">
        <f>I97</f>
        <v>-634.20000000000005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65.5</v>
      </c>
      <c r="AI80" s="47">
        <f t="shared" si="24"/>
        <v>55.6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70.599999999999994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28"/>
        <v>41.6</v>
      </c>
      <c r="BB81" s="81">
        <f t="shared" si="28"/>
        <v>40.299999999999997</v>
      </c>
      <c r="BC81" s="81">
        <f t="shared" si="28"/>
        <v>39.299999999999997</v>
      </c>
      <c r="BD81" s="81">
        <f t="shared" si="28"/>
        <v>39.1</v>
      </c>
      <c r="BE81" s="82">
        <f>I99</f>
        <v>33.4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0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46.5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1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-636</v>
      </c>
      <c r="BA86" s="82">
        <f t="shared" si="32"/>
        <v>-629</v>
      </c>
      <c r="BB86" s="82">
        <f t="shared" si="32"/>
        <v>-642</v>
      </c>
      <c r="BC86" s="82">
        <f t="shared" si="32"/>
        <v>-638.20000000000005</v>
      </c>
      <c r="BD86" s="82">
        <f t="shared" si="32"/>
        <v>-635.70000000000005</v>
      </c>
      <c r="BE86" s="82">
        <f t="shared" si="32"/>
        <v>-634.20000000000005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2"/>
        <v>41</v>
      </c>
      <c r="BA88" s="82">
        <f t="shared" si="32"/>
        <v>41.6</v>
      </c>
      <c r="BB88" s="82">
        <f t="shared" si="32"/>
        <v>40.299999999999997</v>
      </c>
      <c r="BC88" s="82">
        <f t="shared" si="32"/>
        <v>39.299999999999997</v>
      </c>
      <c r="BD88" s="82">
        <f t="shared" si="32"/>
        <v>39.1</v>
      </c>
      <c r="BE88" s="82">
        <f t="shared" si="32"/>
        <v>33.4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0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46.5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353.1</v>
      </c>
      <c r="C92" s="70">
        <f t="shared" ref="B92:AG92" si="34">SUM(C79:C91)</f>
        <v>353.1</v>
      </c>
      <c r="D92" s="70">
        <f t="shared" si="34"/>
        <v>354.5</v>
      </c>
      <c r="E92" s="70">
        <f t="shared" si="34"/>
        <v>354.5</v>
      </c>
      <c r="F92" s="70">
        <f t="shared" si="34"/>
        <v>354.5</v>
      </c>
      <c r="G92" s="70">
        <f t="shared" si="34"/>
        <v>354.5</v>
      </c>
      <c r="H92" s="70">
        <f t="shared" si="34"/>
        <v>353.59999999999997</v>
      </c>
      <c r="I92" s="70">
        <f t="shared" si="34"/>
        <v>353.59999999999997</v>
      </c>
      <c r="J92" s="70">
        <f t="shared" si="34"/>
        <v>345.59999999999997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354.5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5">B93+B94+B95</f>
        <v>0</v>
      </c>
      <c r="C96" s="70">
        <f t="shared" ref="B96:AF96" si="36">C93+C94+C95</f>
        <v>0</v>
      </c>
      <c r="D96" s="70">
        <f t="shared" si="36"/>
        <v>0</v>
      </c>
      <c r="E96" s="70">
        <f t="shared" si="36"/>
        <v>0</v>
      </c>
      <c r="F96" s="70">
        <f t="shared" si="36"/>
        <v>0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-586.70000000000005</v>
      </c>
      <c r="AI97" s="47">
        <f t="shared" si="24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3.7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30.9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56.4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7">SUMIF(B97:B107,"&gt;0")</f>
        <v>76.400000000000006</v>
      </c>
      <c r="C108" s="70">
        <f t="shared" ref="B108:AF108" si="38">SUMIF(C97:C107,"&gt;0")</f>
        <v>101</v>
      </c>
      <c r="D108" s="70">
        <f t="shared" si="38"/>
        <v>96.6</v>
      </c>
      <c r="E108" s="70">
        <f t="shared" si="38"/>
        <v>99.1</v>
      </c>
      <c r="F108" s="70">
        <f t="shared" si="38"/>
        <v>96.4</v>
      </c>
      <c r="G108" s="70">
        <f t="shared" si="38"/>
        <v>94.6</v>
      </c>
      <c r="H108" s="70">
        <f t="shared" si="38"/>
        <v>90.8</v>
      </c>
      <c r="I108" s="70">
        <f t="shared" si="38"/>
        <v>130.4</v>
      </c>
      <c r="J108" s="70">
        <f t="shared" si="38"/>
        <v>138.19999999999999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138.19999999999999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9">B71+B78+B96+B92+B108+B112</f>
        <v>2322.12</v>
      </c>
      <c r="C113" s="108">
        <f t="shared" ref="B113:AG113" si="40">C71+C78+C96+C92+C108+C112</f>
        <v>2346.2199999999998</v>
      </c>
      <c r="D113" s="108">
        <f t="shared" si="40"/>
        <v>2343.2199999999998</v>
      </c>
      <c r="E113" s="108">
        <f t="shared" si="40"/>
        <v>2341.7199999999998</v>
      </c>
      <c r="F113" s="108">
        <f t="shared" si="40"/>
        <v>2348.1</v>
      </c>
      <c r="G113" s="108">
        <f t="shared" si="40"/>
        <v>2340.2999999999997</v>
      </c>
      <c r="H113" s="108">
        <f t="shared" si="40"/>
        <v>2324.1</v>
      </c>
      <c r="I113" s="108">
        <f t="shared" si="40"/>
        <v>2345.2000000000003</v>
      </c>
      <c r="J113" s="108">
        <f t="shared" si="40"/>
        <v>2346.1</v>
      </c>
      <c r="K113" s="108">
        <f t="shared" si="40"/>
        <v>152</v>
      </c>
      <c r="L113" s="108">
        <f t="shared" si="40"/>
        <v>152</v>
      </c>
      <c r="M113" s="108">
        <f t="shared" si="40"/>
        <v>152</v>
      </c>
      <c r="N113" s="108">
        <f t="shared" si="40"/>
        <v>152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2348.1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1">B113+B114</f>
        <v>2372.12</v>
      </c>
      <c r="C115" s="108">
        <f t="shared" ref="C115:AF115" si="42">C113+C114</f>
        <v>2346.2199999999998</v>
      </c>
      <c r="D115" s="108">
        <f t="shared" si="42"/>
        <v>2343.2199999999998</v>
      </c>
      <c r="E115" s="108">
        <f t="shared" si="42"/>
        <v>2341.7199999999998</v>
      </c>
      <c r="F115" s="108">
        <f t="shared" si="42"/>
        <v>2348.1</v>
      </c>
      <c r="G115" s="108">
        <f t="shared" si="42"/>
        <v>2340.2999999999997</v>
      </c>
      <c r="H115" s="108">
        <f t="shared" si="42"/>
        <v>2324.1</v>
      </c>
      <c r="I115" s="108">
        <f t="shared" si="42"/>
        <v>2345.2000000000003</v>
      </c>
      <c r="J115" s="108">
        <f t="shared" si="42"/>
        <v>2346.1</v>
      </c>
      <c r="K115" s="108">
        <f t="shared" si="42"/>
        <v>152</v>
      </c>
      <c r="L115" s="108">
        <f t="shared" si="42"/>
        <v>152</v>
      </c>
      <c r="M115" s="108">
        <f t="shared" si="42"/>
        <v>152</v>
      </c>
      <c r="N115" s="108">
        <f t="shared" si="42"/>
        <v>152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2372.12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3">B115-(B123)</f>
        <v>1784.4199999999998</v>
      </c>
      <c r="C116" s="108">
        <f t="shared" ref="C116:AF116" si="44">C115-(C123)</f>
        <v>1710.2199999999998</v>
      </c>
      <c r="D116" s="108">
        <f t="shared" si="44"/>
        <v>1714.2199999999998</v>
      </c>
      <c r="E116" s="108">
        <f t="shared" si="44"/>
        <v>1699.7199999999998</v>
      </c>
      <c r="F116" s="108">
        <f t="shared" si="44"/>
        <v>1709.8999999999999</v>
      </c>
      <c r="G116" s="108">
        <f t="shared" si="44"/>
        <v>1704.5999999999997</v>
      </c>
      <c r="H116" s="108">
        <f t="shared" si="44"/>
        <v>1721.6999999999998</v>
      </c>
      <c r="I116" s="108">
        <f t="shared" si="44"/>
        <v>1711.0000000000002</v>
      </c>
      <c r="J116" s="108">
        <f t="shared" si="44"/>
        <v>1759.3999999999999</v>
      </c>
      <c r="K116" s="108">
        <f t="shared" si="44"/>
        <v>152</v>
      </c>
      <c r="L116" s="108">
        <f t="shared" si="44"/>
        <v>152</v>
      </c>
      <c r="M116" s="108">
        <f t="shared" si="44"/>
        <v>152</v>
      </c>
      <c r="N116" s="108">
        <f t="shared" si="44"/>
        <v>152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1784.4199999999998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5">IF(B97&lt;0,B97*-1,0)</f>
        <v>587.70000000000005</v>
      </c>
      <c r="C117" s="93">
        <f t="shared" ref="B117:AF122" si="46">IF(C97&lt;0,C97*-1,0)</f>
        <v>636</v>
      </c>
      <c r="D117" s="93">
        <f t="shared" si="46"/>
        <v>629</v>
      </c>
      <c r="E117" s="93">
        <f t="shared" si="46"/>
        <v>642</v>
      </c>
      <c r="F117" s="93">
        <f t="shared" si="46"/>
        <v>638.20000000000005</v>
      </c>
      <c r="G117" s="93">
        <f t="shared" si="46"/>
        <v>635.70000000000005</v>
      </c>
      <c r="H117" s="93">
        <f t="shared" si="46"/>
        <v>602.4</v>
      </c>
      <c r="I117" s="93">
        <f t="shared" si="46"/>
        <v>634.20000000000005</v>
      </c>
      <c r="J117" s="93">
        <f t="shared" si="46"/>
        <v>586.70000000000005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642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7">SUM(B117:B122)</f>
        <v>587.70000000000005</v>
      </c>
      <c r="C123" s="70">
        <f t="shared" ref="B123:AF123" si="48">SUM(C117:C122)</f>
        <v>636</v>
      </c>
      <c r="D123" s="70">
        <f t="shared" si="48"/>
        <v>629</v>
      </c>
      <c r="E123" s="70">
        <f t="shared" si="48"/>
        <v>642</v>
      </c>
      <c r="F123" s="70">
        <f t="shared" si="48"/>
        <v>638.20000000000005</v>
      </c>
      <c r="G123" s="70">
        <f t="shared" si="48"/>
        <v>635.70000000000005</v>
      </c>
      <c r="H123" s="70">
        <f t="shared" si="48"/>
        <v>602.4</v>
      </c>
      <c r="I123" s="70">
        <f t="shared" si="48"/>
        <v>634.20000000000005</v>
      </c>
      <c r="J123" s="70">
        <f t="shared" si="48"/>
        <v>586.70000000000005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642</v>
      </c>
      <c r="AI123" s="47">
        <f t="shared" si="24"/>
        <v>0</v>
      </c>
      <c r="AJ123" s="105">
        <f t="array" ref="AJ123">MIN(IF(B123:AF123&lt;&gt;0,B123:AF123))</f>
        <v>586.70000000000005</v>
      </c>
    </row>
    <row r="124" spans="1:64" ht="15.75" thickBot="1" x14ac:dyDescent="0.3">
      <c r="A124" s="87" t="s">
        <v>146</v>
      </c>
      <c r="B124" s="70">
        <f t="shared" ref="B124" si="49">B108-B123</f>
        <v>-511.30000000000007</v>
      </c>
      <c r="C124" s="70">
        <f t="shared" ref="B124:AF124" si="50">C108-C123</f>
        <v>-535</v>
      </c>
      <c r="D124" s="70">
        <f t="shared" si="50"/>
        <v>-532.4</v>
      </c>
      <c r="E124" s="70">
        <f t="shared" si="50"/>
        <v>-542.9</v>
      </c>
      <c r="F124" s="70">
        <f t="shared" si="50"/>
        <v>-541.80000000000007</v>
      </c>
      <c r="G124" s="70">
        <f t="shared" si="50"/>
        <v>-541.1</v>
      </c>
      <c r="H124" s="70">
        <f t="shared" si="50"/>
        <v>-511.59999999999997</v>
      </c>
      <c r="I124" s="70">
        <f t="shared" si="50"/>
        <v>-503.80000000000007</v>
      </c>
      <c r="J124" s="70">
        <f t="shared" si="50"/>
        <v>-448.50000000000006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50.052</v>
      </c>
      <c r="AI126" s="47">
        <f t="shared" si="24"/>
        <v>49.96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131.19999999999999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132.1</v>
      </c>
      <c r="AI128" s="47">
        <f t="shared" si="24"/>
        <v>129.9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134.19999999999999</v>
      </c>
      <c r="AI130" s="47">
        <f t="shared" si="24"/>
        <v>131.4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135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131.1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52">SUM(C26,C32,C45:C46,C82,C84:C85,C87,C89,C137:C142,C177,C183,C189,C198,C200,C212,C219,C222:C223,C230,C232,C234,C238:C240,C242:C244,C249,C255:C256,C258:C260,C161,C166)</f>
        <v>165.73999999999995</v>
      </c>
      <c r="D135" s="114">
        <f t="shared" si="52"/>
        <v>162.73999999999998</v>
      </c>
      <c r="E135" s="114">
        <f t="shared" si="52"/>
        <v>160.73999999999998</v>
      </c>
      <c r="F135" s="114">
        <f t="shared" si="52"/>
        <v>170.83999999999995</v>
      </c>
      <c r="G135" s="114">
        <f t="shared" si="52"/>
        <v>179.73999999999995</v>
      </c>
      <c r="H135" s="114">
        <f t="shared" si="52"/>
        <v>182.04000000000002</v>
      </c>
      <c r="I135" s="114">
        <f t="shared" si="52"/>
        <v>252.74</v>
      </c>
      <c r="J135" s="114">
        <f t="shared" si="52"/>
        <v>253.74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253.74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67.099999999999994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34.200000000000003</v>
      </c>
      <c r="AI138" s="47">
        <f t="shared" si="24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-76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74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12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-26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-344.2</v>
      </c>
      <c r="AI146" s="47">
        <f t="shared" ref="AI146:AI158" si="56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76.7</v>
      </c>
      <c r="AI147" s="47">
        <f t="shared" si="56"/>
        <v>61.1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8.1999999999999993</v>
      </c>
      <c r="AI148" s="47">
        <f t="shared" si="56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242.4</v>
      </c>
      <c r="AI149" s="47">
        <f t="shared" si="56"/>
        <v>121.5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30.8</v>
      </c>
      <c r="AI150" s="47">
        <f t="shared" si="56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8.1</v>
      </c>
      <c r="AI151" s="47">
        <f t="shared" si="56"/>
        <v>7.1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0</v>
      </c>
      <c r="AI153" s="47">
        <f t="shared" si="5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0</v>
      </c>
      <c r="AI155" s="47">
        <f t="shared" si="5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0</v>
      </c>
      <c r="AI156" s="47">
        <f t="shared" si="5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0</v>
      </c>
      <c r="AI157" s="47">
        <f t="shared" si="5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1517.27</v>
      </c>
      <c r="AI158" s="47">
        <f t="shared" si="56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K11:AA13 AB12:AF13 K85:AF90 B9:AF10 C117:AF125 B113:B115 C109:AF115 B108:AF108 B117:B124 C152:AF152 C154:AF159 B153:AF153 B93:AF96 C134:AF134 K126:AF133 K137:AF151 B76:E90 F76:AF77 B72:L72 F79:J90 C97:AF107">
    <cfRule type="expression" dxfId="172" priority="106">
      <formula>B$9&gt;=20/24</formula>
    </cfRule>
  </conditionalFormatting>
  <conditionalFormatting sqref="B9:AF10 K11:AA13 AB12:AF13 K85:AF90 C117:AF125 B113:B115 C109:AF115 B108:AF108 B117:B124 C152:AF152 C154:AF159 B153:AF153 B93:AF96 C134:AF134 K126:AF133 K137:AF151 B76:E90 F76:AF77 B72:L72 F79:J90 C97:AF107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K14:AF53 B29:J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K11:AA13 AB12:AF13 AF92:AF95 AF96:AG96 B71:AG71 B91:AF91 B92:AE96 F78:AG78 B76:E90 B69:AA69 F76:AF77 F79:AC90">
    <cfRule type="expression" dxfId="144" priority="105">
      <formula>B11&gt;$AG11*1</formula>
    </cfRule>
  </conditionalFormatting>
  <conditionalFormatting sqref="K83:O83 F79:J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K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K73:AF75">
    <cfRule type="expression" dxfId="131" priority="35">
      <formula>K$9&gt;=20/24</formula>
    </cfRule>
    <cfRule type="expression" dxfId="130" priority="36">
      <formula>AND(K$9&gt;=14/24,K$9&lt;20/24)</formula>
    </cfRule>
    <cfRule type="expression" dxfId="129" priority="37">
      <formula>AND(K$9&gt;=8/24,K$9&lt;14/24)</formula>
    </cfRule>
    <cfRule type="expression" dxfId="128" priority="38">
      <formula>K$9&lt;8/24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J13 C126:J133 C137:J151">
    <cfRule type="expression" dxfId="22" priority="20">
      <formula>B$9&gt;=20/24</formula>
    </cfRule>
  </conditionalFormatting>
  <conditionalFormatting sqref="B97:B107 B137:B152 B109:B112 B125:B134 B154:B159 B11:J13 C126:J133 C137:J151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J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J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2026-05-22T00:53:53Z</dcterms:modified>
</cp:coreProperties>
</file>