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1"/>
  </bookViews>
  <sheets>
    <sheet name="01" sheetId="72" r:id="rId1"/>
    <sheet name="02" sheetId="74" r:id="rId2"/>
    <sheet name="Sample" sheetId="1" r:id="rId3"/>
    <sheet name="Calc" sheetId="3" r:id="rId4"/>
    <sheet name="Sheet6" sheetId="36" r:id="rId5"/>
    <sheet name="Schedule@G4 dont delete " sheetId="73" r:id="rId6"/>
    <sheet name="Schedule 2026.5.11 BG" sheetId="67" state="hidden" r:id="rId7"/>
    <sheet name="Schedule 2026.5.11" sheetId="64" state="hidden" r:id="rId8"/>
  </sheets>
  <definedNames>
    <definedName name="a" localSheetId="0">#REF!</definedName>
    <definedName name="a" localSheetId="1">#REF!</definedName>
    <definedName name="a" localSheetId="2">#REF!</definedName>
    <definedName name="a" localSheetId="7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7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7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7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7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7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7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7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70" i="74" l="1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A116" i="74" l="1"/>
  <c r="AA134" i="74" s="1"/>
  <c r="Z123" i="74"/>
  <c r="Z124" i="74"/>
  <c r="Z113" i="74"/>
  <c r="Z115" i="74" s="1"/>
  <c r="Z116" i="74" s="1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<sst xmlns="http://schemas.openxmlformats.org/spreadsheetml/2006/main" count="1263" uniqueCount="416">
  <si>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</si>
  <si>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</si>
  <si>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</si>
  <si>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</si>
  <si>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</si>
  <si>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</si>
  <si>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</si>
  <si>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</si>
  <si>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</si>
  <si>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</si>
  <si>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</si>
  <si>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</si>
  <si>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</si>
  <si>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</si>
  <si>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</si>
  <si>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</si>
  <si>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</si>
  <si>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</si>
  <si>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</si>
  <si>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</si>
  <si>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</si>
  <si>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</si>
  <si>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</si>
  <si>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</si>
  <si>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</si>
  <si>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</si>
  <si>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</si>
  <si>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</si>
  <si>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</si>
  <si>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</si>
  <si>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</si>
  <si>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</si>
  <si>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</si>
  <si>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</si>
  <si>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</si>
  <si>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</si>
  <si>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</si>
  <si>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</si>
  <si>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</si>
  <si>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</si>
  <si>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</si>
  <si>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</si>
  <si>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</si>
  <si>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</si>
  <si>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</si>
  <si>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</si>
  <si>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</si>
  <si>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</si>
  <si>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</si>
  <si>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</si>
  <si>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</si>
  <si>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</si>
  <si>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</si>
  <si>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</si>
  <si>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</si>
  <si>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</si>
  <si>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</si>
  <si>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</si>
  <si>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</si>
  <si>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</si>
  <si>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</si>
  <si>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</si>
  <si>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</si>
  <si>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</si>
  <si>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</si>
  <si>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</si>
  <si>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</si>
  <si>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</si>
  <si>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</si>
  <si>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</si>
  <si>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</si>
  <si>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</si>
  <si>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</si>
  <si>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</si>
  <si>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</si>
  <si>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</si>
  <si>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</si>
  <si>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</si>
  <si>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</si>
  <si>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</si>
  <si>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</si>
  <si>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</si>
  <si>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</si>
  <si>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</si>
  <si>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</si>
  <si>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</si>
  <si>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</si>
  <si>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</si>
  <si>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</si>
  <si>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</si>
  <si>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</si>
  <si>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</si>
  <si>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</si>
  <si>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</si>
  <si>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</si>
  <si>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</si>
  <si>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</si>
  <si>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</si>
  <si>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</si>
  <si>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</si>
  <si>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</si>
  <si>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</si>
  <si>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</si>
  <si>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</si>
  <si>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</si>
  <si>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</si>
  <si>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</si>
  <si>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</si>
  <si>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</si>
  <si>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</si>
  <si>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</si>
  <si>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</si>
  <si>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</si>
  <si>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</si>
  <si>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</si>
  <si>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</si>
  <si>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</si>
  <si>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</si>
  <si>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</si>
  <si>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</si>
  <si>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</si>
  <si>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</si>
  <si>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</si>
  <si>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</si>
  <si>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</si>
  <si>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</si>
  <si>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</si>
  <si>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</si>
  <si>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</si>
  <si>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</si>
  <si>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</si>
  <si>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</si>
  <si>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</si>
  <si>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</si>
  <si>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</si>
  <si>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</si>
  <si>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</si>
  <si>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</si>
  <si>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</si>
  <si>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</si>
  <si>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</si>
  <si>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</si>
  <si>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</si>
  <si>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</si>
  <si>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</si>
  <si>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</si>
  <si>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</si>
  <si>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</si>
  <si>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</si>
  <si>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</si>
  <si>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</si>
  <si>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</si>
  <si>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</si>
  <si>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</si>
  <si>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</si>
  <si>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</si>
  <si>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</si>
  <si>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</si>
  <si>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</si>
  <si>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</si>
  <si>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</si>
  <si>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</si>
  <si>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</si>
  <si>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</si>
  <si>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</si>
  <si>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</si>
  <si>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</si>
  <si>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</si>
  <si>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</si>
  <si>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</si>
  <si>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</si>
  <si>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</si>
  <si>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</si>
  <si>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</si>
  <si>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</si>
  <si>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</si>
  <si>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</si>
  <si>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</si>
  <si>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</si>
  <si>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</si>
  <si>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</si>
  <si>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</si>
  <si>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</si>
  <si>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</si>
  <si>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</si>
  <si>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</si>
  <si>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</si>
  <si>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</si>
  <si>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</si>
  <si>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</si>
  <si>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</si>
  <si>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</si>
  <si>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</si>
  <si>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</si>
  <si>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</si>
  <si>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</si>
  <si>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</si>
  <si>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</si>
  <si>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</si>
  <si>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</si>
  <si>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</si>
  <si>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</si>
  <si>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</si>
  <si>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</si>
  <si>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</si>
  <si>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</si>
  <si>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</si>
  <si>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</si>
  <si>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</si>
  <si>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</si>
  <si>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</si>
  <si>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</si>
  <si>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</si>
  <si>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</si>
  <si>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</si>
  <si>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</si>
  <si>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</si>
  <si>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</si>
  <si>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</si>
  <si>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</si>
  <si>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</si>
  <si>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</si>
  <si>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</si>
  <si>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</si>
  <si>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</si>
  <si>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</si>
  <si>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</si>
  <si>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</si>
  <si>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</si>
  <si>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</si>
  <si>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</si>
  <si>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</si>
  <si>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</si>
  <si>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</si>
  <si>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</si>
  <si>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</si>
  <si>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</si>
  <si>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</si>
  <si>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</si>
  <si>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</si>
  <si>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</si>
  <si>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</si>
  <si>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</si>
  <si>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</si>
  <si>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</si>
  <si>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</si>
  <si>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</si>
  <si>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</si>
  <si>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</si>
  <si>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</si>
  <si>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</si>
  <si>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</si>
  <si>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</si>
  <si>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</si>
  <si>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</si>
  <si>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</si>
  <si>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</si>
  <si>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</si>
  <si>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</si>
  <si>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</si>
  <si>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</si>
  <si>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</si>
  <si>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</si>
  <si>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</si>
  <si>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</si>
  <si>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</si>
  <si>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</si>
  <si>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</si>
  <si>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</si>
  <si>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</si>
  <si>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</si>
  <si>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</si>
  <si>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</si>
  <si>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</si>
  <si>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</si>
  <si>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</si>
  <si>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</si>
  <si>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</si>
  <si>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</si>
  <si>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</si>
  <si>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</si>
  <si>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</si>
  <si>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</si>
  <si>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</si>
  <si>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</si>
  <si>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</si>
  <si>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</si>
  <si>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</si>
  <si>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</si>
  <si>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</si>
  <si>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</si>
  <si>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</si>
  <si>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</si>
  <si>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</si>
  <si>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</si>
  <si>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</si>
  <si>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</si>
  <si>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</si>
  <si>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</si>
  <si>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</si>
  <si>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</si>
  <si>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</si>
  <si>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</si>
  <si>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</si>
  <si>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</si>
  <si>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</si>
  <si>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</si>
  <si>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</si>
  <si>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</si>
  <si>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</si>
  <si>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</si>
  <si>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</si>
  <si>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</si>
  <si>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</si>
  <si>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</si>
  <si>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</si>
  <si>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</si>
  <si>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</si>
  <si>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</si>
  <si>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</si>
  <si>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</si>
  <si>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</si>
  <si>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</si>
  <si>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</si>
  <si>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</si>
  <si>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</si>
  <si>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</si>
  <si>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</si>
  <si>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</si>
  <si>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</si>
  <si>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</si>
  <si>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</si>
  <si>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</si>
  <si>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</si>
  <si>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</si>
  <si>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</si>
  <si>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</si>
  <si>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</si>
  <si>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</si>
  <si>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</si>
  <si>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</si>
  <si>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</si>
  <si>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</si>
  <si>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</si>
  <si>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</si>
  <si>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</si>
  <si>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</si>
  <si>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</si>
  <si>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</si>
  <si>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</si>
  <si>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</si>
  <si>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</si>
  <si>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</si>
  <si>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</si>
  <si>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</si>
  <si>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</si>
  <si>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</si>
  <si>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</si>
  <si>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</si>
  <si>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</si>
  <si>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</si>
  <si>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</si>
  <si>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</si>
  <si>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</si>
  <si>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</si>
  <si>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</si>
  <si>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</si>
  <si>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</si>
  <si>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</si>
  <si>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</si>
  <si>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</si>
  <si>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</si>
  <si>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</si>
  <si>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</si>
  <si>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</si>
  <si>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</si>
  <si>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</si>
  <si>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</si>
  <si>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</si>
  <si>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</si>
  <si>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</si>
  <si>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</si>
  <si>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</si>
  <si>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</si>
  <si>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</si>
  <si>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</si>
  <si>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</si>
  <si>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</si>
  <si>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</si>
  <si>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</si>
  <si>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</si>
  <si>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</si>
  <si>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</si>
  <si>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</si>
  <si>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</si>
  <si>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</si>
  <si>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</si>
  <si>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</si>
  <si>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</si>
  <si>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</si>
  <si>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</si>
  <si>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</si>
  <si>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</si>
  <si>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</si>
  <si>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</si>
  <si>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</si>
  <si>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</si>
  <si>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</si>
  <si>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</si>
  <si>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</si>
  <si>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</si>
  <si>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</si>
  <si>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</si>
  <si>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</si>
  <si>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</si>
  <si>
    <t>16..9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</si>
</sst>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608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8" t="s">
        <v>0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9" t="s">
        <v>1</v>
      </c>
      <c r="AH1" s="219"/>
      <c r="AI1" s="219"/>
      <c r="AL1" s="2"/>
    </row>
    <row r="2" spans="1:88" ht="20.25" hidden="1">
      <c r="A2" s="3"/>
      <c r="B2" s="220" t="s">
        <v>2</v>
      </c>
      <c r="C2" s="4"/>
      <c r="D2" s="222" t="s">
        <v>3</v>
      </c>
      <c r="E2" s="4"/>
      <c r="F2" s="222" t="s">
        <v>4</v>
      </c>
      <c r="G2" s="4"/>
      <c r="H2" s="222" t="s">
        <v>5</v>
      </c>
      <c r="I2" s="5"/>
      <c r="J2" s="224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1"/>
      <c r="C3" s="16"/>
      <c r="D3" s="223"/>
      <c r="E3" s="16"/>
      <c r="F3" s="223"/>
      <c r="G3" s="16"/>
      <c r="H3" s="223"/>
      <c r="I3" s="17"/>
      <c r="J3" s="224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5" t="str">
        <f ca="1">"2080/"&amp;"10/"&amp;INT(MID(CELL("filename",D6),FIND("]",CELL("filename",D6))+1,200))</f>
        <v>2080/10/1</v>
      </c>
      <c r="C4" s="225"/>
      <c r="D4" s="225"/>
      <c r="E4" s="226" t="str">
        <f ca="1">"2080/"&amp;"10/"&amp;INT(MID(CELL("filename",G6),FIND("]",CELL("filename",G6))+1,200))</f>
        <v>2080/10/1</v>
      </c>
      <c r="F4" s="226"/>
      <c r="G4" s="226"/>
      <c r="H4" s="226" t="str">
        <f ca="1">TEXT(E4,"dddd")</f>
        <v>Tuesday</v>
      </c>
      <c r="I4" s="226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30" t="s">
        <v>15</v>
      </c>
      <c r="N8" s="231"/>
      <c r="O8" s="231"/>
      <c r="P8" s="231"/>
      <c r="Q8" s="231"/>
      <c r="R8" s="232"/>
      <c r="S8" s="230" t="s">
        <v>16</v>
      </c>
      <c r="T8" s="231"/>
      <c r="U8" s="231"/>
      <c r="V8" s="231"/>
      <c r="W8" s="231"/>
      <c r="X8" s="231"/>
      <c r="Y8" s="231"/>
      <c r="Z8" s="231"/>
      <c r="AA8" s="232"/>
      <c r="AB8" s="230" t="s">
        <v>17</v>
      </c>
      <c r="AC8" s="231"/>
      <c r="AD8" s="231"/>
      <c r="AE8" s="231"/>
      <c r="AF8" s="232"/>
      <c r="AG8" s="39"/>
      <c r="AH8" s="233"/>
      <c r="AI8" s="233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5" t="s">
        <v>18</v>
      </c>
      <c r="B9" s="237">
        <v>0</v>
      </c>
      <c r="C9" s="237">
        <v>4.1666666666666664E-2</v>
      </c>
      <c r="D9" s="237">
        <v>8.3333333333333301E-2</v>
      </c>
      <c r="E9" s="237">
        <v>0.125</v>
      </c>
      <c r="F9" s="237">
        <v>0.16666666666666699</v>
      </c>
      <c r="G9" s="237">
        <v>0.20833333333333301</v>
      </c>
      <c r="H9" s="237">
        <v>0.22916666666666699</v>
      </c>
      <c r="I9" s="237">
        <v>0.25</v>
      </c>
      <c r="J9" s="237">
        <v>0.27083333333333298</v>
      </c>
      <c r="K9" s="237">
        <v>0.29166666666666702</v>
      </c>
      <c r="L9" s="237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3">
        <v>0.58333333333333304</v>
      </c>
      <c r="T9" s="233">
        <v>0.625</v>
      </c>
      <c r="U9" s="233">
        <v>0.66666666666666696</v>
      </c>
      <c r="V9" s="233">
        <v>0.70833333333333304</v>
      </c>
      <c r="W9" s="233">
        <v>0.72916666666666696</v>
      </c>
      <c r="X9" s="233">
        <v>0.75</v>
      </c>
      <c r="Y9" s="233">
        <v>0.77083333333333304</v>
      </c>
      <c r="Z9" s="233">
        <v>0.79166666666666696</v>
      </c>
      <c r="AA9" s="233">
        <v>0.8125</v>
      </c>
      <c r="AB9" s="233">
        <v>0.83333333333333304</v>
      </c>
      <c r="AC9" s="233">
        <v>0.85416666666666696</v>
      </c>
      <c r="AD9" s="233">
        <v>0.875</v>
      </c>
      <c r="AE9" s="233">
        <v>0.91666666666666696</v>
      </c>
      <c r="AF9" s="233">
        <v>0.95833333333333304</v>
      </c>
      <c r="AG9" s="240" t="s">
        <v>1</v>
      </c>
      <c r="AH9" s="234"/>
      <c r="AI9" s="234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6"/>
      <c r="B10" s="237"/>
      <c r="C10" s="237"/>
      <c r="D10" s="237"/>
      <c r="E10" s="237"/>
      <c r="F10" s="237"/>
      <c r="G10" s="237"/>
      <c r="H10" s="234"/>
      <c r="I10" s="234"/>
      <c r="J10" s="234"/>
      <c r="K10" s="234"/>
      <c r="L10" s="234"/>
      <c r="M10" s="239"/>
      <c r="N10" s="239"/>
      <c r="O10" s="239"/>
      <c r="P10" s="239"/>
      <c r="Q10" s="239"/>
      <c r="R10" s="239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41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2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3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7" priority="47">
      <formula>$AH11=0</formula>
    </cfRule>
  </conditionalFormatting>
  <conditionalFormatting sqref="A101:A102">
    <cfRule type="expression" dxfId="606" priority="215">
      <formula>$AH106=0</formula>
    </cfRule>
  </conditionalFormatting>
  <conditionalFormatting sqref="A103:A107">
    <cfRule type="expression" dxfId="605" priority="163">
      <formula>$AH102=0</formula>
    </cfRule>
  </conditionalFormatting>
  <conditionalFormatting sqref="A160:A167">
    <cfRule type="expression" dxfId="604" priority="216">
      <formula>$AH267=0</formula>
    </cfRule>
  </conditionalFormatting>
  <conditionalFormatting sqref="A168:A275">
    <cfRule type="expression" dxfId="603" priority="86">
      <formula>$AH168=0</formula>
    </cfRule>
  </conditionalFormatting>
  <conditionalFormatting sqref="B8">
    <cfRule type="expression" dxfId="602" priority="211">
      <formula>AND(C$9&gt;=14/24,C$9&lt;20/24)</formula>
    </cfRule>
    <cfRule type="expression" dxfId="601" priority="212">
      <formula>AND(C$9&gt;=8/24,C$9&lt;14/24)</formula>
    </cfRule>
    <cfRule type="expression" dxfId="600" priority="213">
      <formula>C$9&lt;8/24</formula>
    </cfRule>
    <cfRule type="expression" dxfId="599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598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597" priority="129">
      <formula>AND(B$9&gt;=14/24,B$9&lt;20/24)</formula>
    </cfRule>
    <cfRule type="expression" dxfId="596" priority="130">
      <formula>AND(B$9&gt;=8/24,B$9&lt;14/24)</formula>
    </cfRule>
    <cfRule type="expression" dxfId="595" priority="131">
      <formula>B$9&lt;8/24</formula>
    </cfRule>
  </conditionalFormatting>
  <conditionalFormatting sqref="B29:Y53">
    <cfRule type="expression" dxfId="594" priority="71">
      <formula>B29&gt;$AG29*1</formula>
    </cfRule>
    <cfRule type="expression" dxfId="593" priority="72">
      <formula>B$9&gt;=20/24</formula>
    </cfRule>
    <cfRule type="expression" dxfId="592" priority="73">
      <formula>AND(B$9&gt;=14/24,B$9&lt;20/24)</formula>
    </cfRule>
    <cfRule type="expression" dxfId="591" priority="74">
      <formula>AND(B$9&gt;=8/24,B$9&lt;14/24)</formula>
    </cfRule>
    <cfRule type="expression" dxfId="590" priority="75">
      <formula>B$9&lt;8/24</formula>
    </cfRule>
  </conditionalFormatting>
  <conditionalFormatting sqref="B54:Y68">
    <cfRule type="expression" dxfId="589" priority="64">
      <formula>B$9&lt;8/24</formula>
    </cfRule>
  </conditionalFormatting>
  <conditionalFormatting sqref="B54:Y70">
    <cfRule type="expression" dxfId="588" priority="61">
      <formula>B$9&gt;=20/24</formula>
    </cfRule>
    <cfRule type="expression" dxfId="587" priority="62">
      <formula>AND(B$9&gt;=14/24,B$9&lt;20/24)</formula>
    </cfRule>
    <cfRule type="expression" dxfId="586" priority="63">
      <formula>AND(B$9&gt;=8/24,B$9&lt;14/24)</formula>
    </cfRule>
  </conditionalFormatting>
  <conditionalFormatting sqref="B63:Y65">
    <cfRule type="expression" dxfId="585" priority="65">
      <formula>B63&gt;$AG63</formula>
    </cfRule>
  </conditionalFormatting>
  <conditionalFormatting sqref="B69:Y70">
    <cfRule type="expression" dxfId="584" priority="136">
      <formula>B$9&lt;8/24</formula>
    </cfRule>
  </conditionalFormatting>
  <conditionalFormatting sqref="B72:AF75">
    <cfRule type="expression" dxfId="583" priority="52">
      <formula>B72&gt;$AG72*1</formula>
    </cfRule>
  </conditionalFormatting>
  <conditionalFormatting sqref="B73:AF75">
    <cfRule type="expression" dxfId="582" priority="53">
      <formula>B$9&gt;=20/24</formula>
    </cfRule>
    <cfRule type="expression" dxfId="581" priority="54">
      <formula>AND(B$9&gt;=14/24,B$9&lt;20/24)</formula>
    </cfRule>
    <cfRule type="expression" dxfId="580" priority="55">
      <formula>AND(B$9&gt;=8/24,B$9&lt;14/24)</formula>
    </cfRule>
    <cfRule type="expression" dxfId="579" priority="56">
      <formula>B$9&lt;8/24</formula>
    </cfRule>
  </conditionalFormatting>
  <conditionalFormatting sqref="F161:AF167">
    <cfRule type="expression" dxfId="578" priority="87">
      <formula>F$9&gt;=20/24</formula>
    </cfRule>
    <cfRule type="expression" dxfId="577" priority="88">
      <formula>AND(F$9&gt;=14/24,F$9&lt;20/24)</formula>
    </cfRule>
    <cfRule type="expression" dxfId="576" priority="89">
      <formula>AND(F$9&gt;=8/24,F$9&lt;14/24)</formula>
    </cfRule>
    <cfRule type="expression" dxfId="575" priority="90">
      <formula>F$9&lt;8/24</formula>
    </cfRule>
  </conditionalFormatting>
  <conditionalFormatting sqref="F169:AF274">
    <cfRule type="expression" dxfId="574" priority="48">
      <formula>F$9&gt;=20/24</formula>
    </cfRule>
    <cfRule type="expression" dxfId="573" priority="49">
      <formula>AND(F$9&gt;=14/24,F$9&lt;20/24)</formula>
    </cfRule>
    <cfRule type="expression" dxfId="572" priority="50">
      <formula>AND(F$9&gt;=8/24,F$9&lt;14/24)</formula>
    </cfRule>
    <cfRule type="expression" dxfId="571" priority="51">
      <formula>F$9&lt;8/24</formula>
    </cfRule>
  </conditionalFormatting>
  <conditionalFormatting sqref="AF96:AG96 B71:AG71 Z78:AG78 X91:AF91 B76:W96 B69:Y69 X76:Y90 X92:AE96 Z76:AF77 Z79:AF90 AF92:AF95">
    <cfRule type="expression" dxfId="570" priority="127">
      <formula>B69&gt;$AG69*1</formula>
    </cfRule>
  </conditionalFormatting>
  <conditionalFormatting sqref="F79:Y83">
    <cfRule type="expression" dxfId="569" priority="137">
      <formula>F$9&gt;=20/24</formula>
    </cfRule>
    <cfRule type="expression" dxfId="568" priority="138">
      <formula>AND(F$9&gt;=14/24,F$9&lt;20/24)</formula>
    </cfRule>
    <cfRule type="expression" dxfId="567" priority="139">
      <formula>AND(F$9&gt;=8/24,F$9&lt;14/24)</formula>
    </cfRule>
    <cfRule type="expression" dxfId="566" priority="140">
      <formula>F$9&lt;8/24</formula>
    </cfRule>
  </conditionalFormatting>
  <conditionalFormatting sqref="F84:Y84">
    <cfRule type="expression" dxfId="565" priority="132">
      <formula>F$9&gt;=20/24</formula>
    </cfRule>
    <cfRule type="expression" dxfId="564" priority="133">
      <formula>AND(F$9&gt;=14/24,F$9&lt;20/24)</formula>
    </cfRule>
    <cfRule type="expression" dxfId="563" priority="134">
      <formula>AND(F$9&gt;=8/24,F$9&lt;14/24)</formula>
    </cfRule>
    <cfRule type="expression" dxfId="562" priority="135">
      <formula>F$9&lt;8/24</formula>
    </cfRule>
  </conditionalFormatting>
  <conditionalFormatting sqref="F78:AF78 B72:AF72">
    <cfRule type="expression" dxfId="561" priority="147">
      <formula>B$9&gt;=20/24</formula>
    </cfRule>
    <cfRule type="expression" dxfId="560" priority="148">
      <formula>AND(B$9&gt;=14/24,B$9&lt;20/24)</formula>
    </cfRule>
    <cfRule type="expression" dxfId="559" priority="149">
      <formula>AND(B$9&gt;=8/24,B$9&lt;14/24)</formula>
    </cfRule>
    <cfRule type="expression" dxfId="558" priority="150">
      <formula>B$9&lt;8/24</formula>
    </cfRule>
  </conditionalFormatting>
  <conditionalFormatting sqref="F79:Y81">
    <cfRule type="expression" dxfId="557" priority="155">
      <formula>F$9&gt;=20/24</formula>
    </cfRule>
    <cfRule type="expression" dxfId="556" priority="156">
      <formula>AND(F$9&gt;=14/24,F$9&lt;20/24)</formula>
    </cfRule>
    <cfRule type="expression" dxfId="555" priority="157">
      <formula>AND(F$9&gt;=8/24,F$9&lt;14/24)</formula>
    </cfRule>
    <cfRule type="expression" dxfId="554" priority="158">
      <formula>F$9&lt;8/24</formula>
    </cfRule>
  </conditionalFormatting>
  <conditionalFormatting sqref="L84:AF84">
    <cfRule type="expression" dxfId="553" priority="151">
      <formula>L$9&gt;=20/24</formula>
    </cfRule>
    <cfRule type="expression" dxfId="552" priority="152">
      <formula>AND(L$9&gt;=14/24,L$9&lt;20/24)</formula>
    </cfRule>
    <cfRule type="expression" dxfId="551" priority="153">
      <formula>AND(L$9&gt;=8/24,L$9&lt;14/24)</formula>
    </cfRule>
    <cfRule type="expression" dxfId="550" priority="154">
      <formula>L$9&lt;8/24</formula>
    </cfRule>
  </conditionalFormatting>
  <conditionalFormatting sqref="M8 S8 AB8">
    <cfRule type="expression" dxfId="549" priority="204">
      <formula>AND(N$9&gt;=14/24,N$9&lt;20/24)</formula>
    </cfRule>
    <cfRule type="expression" dxfId="548" priority="205">
      <formula>AND(N$9&gt;=8/24,N$9&lt;14/24)</formula>
    </cfRule>
    <cfRule type="expression" dxfId="547" priority="206">
      <formula>N$9&lt;8/24</formula>
    </cfRule>
  </conditionalFormatting>
  <conditionalFormatting sqref="T79:Y83 Z80:AF83">
    <cfRule type="expression" dxfId="546" priority="159">
      <formula>T$9&gt;=20/24</formula>
    </cfRule>
    <cfRule type="expression" dxfId="545" priority="160">
      <formula>AND(T$9&gt;=14/24,T$9&lt;20/24)</formula>
    </cfRule>
    <cfRule type="expression" dxfId="544" priority="161">
      <formula>AND(T$9&gt;=8/24,T$9&lt;14/24)</formula>
    </cfRule>
    <cfRule type="expression" dxfId="543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03">
      <formula>N$9&gt;=20/24</formula>
    </cfRule>
  </conditionalFormatting>
  <conditionalFormatting sqref="S8">
    <cfRule type="expression" dxfId="541" priority="194">
      <formula>U$9&gt;=20/24</formula>
    </cfRule>
    <cfRule type="expression" dxfId="540" priority="195">
      <formula>AND(U$9&gt;=14/24,U$9&lt;20/24)</formula>
    </cfRule>
    <cfRule type="expression" dxfId="539" priority="196">
      <formula>AND(U$9&gt;=8/24,U$9&lt;14/24)</formula>
    </cfRule>
    <cfRule type="expression" dxfId="538" priority="197">
      <formula>U$9&lt;8/24</formula>
    </cfRule>
  </conditionalFormatting>
  <conditionalFormatting sqref="T79:AF84">
    <cfRule type="expression" dxfId="537" priority="81">
      <formula>T$9&gt;=20/24</formula>
    </cfRule>
    <cfRule type="expression" dxfId="536" priority="82">
      <formula>AND(T$9&gt;=14/24,T$9&lt;20/24)</formula>
    </cfRule>
    <cfRule type="expression" dxfId="535" priority="83">
      <formula>AND(T$9&gt;=8/24,T$9&lt;14/24)</formula>
    </cfRule>
    <cfRule type="expression" dxfId="534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533" priority="141">
      <formula>B54&gt;$AG54</formula>
    </cfRule>
  </conditionalFormatting>
  <conditionalFormatting sqref="AB8">
    <cfRule type="expression" dxfId="532" priority="190">
      <formula>AD$9&gt;=20/24</formula>
    </cfRule>
    <cfRule type="expression" dxfId="531" priority="191">
      <formula>AND(AD$9&gt;=14/24,AD$9&lt;20/24)</formula>
    </cfRule>
    <cfRule type="expression" dxfId="530" priority="192">
      <formula>AND(AD$9&gt;=8/24,AD$9&lt;14/24)</formula>
    </cfRule>
    <cfRule type="expression" dxfId="529" priority="193">
      <formula>AD$9&lt;8/24</formula>
    </cfRule>
  </conditionalFormatting>
  <conditionalFormatting sqref="AG78">
    <cfRule type="expression" dxfId="528" priority="169">
      <formula>AG$9&gt;=20/24</formula>
    </cfRule>
    <cfRule type="expression" dxfId="527" priority="170">
      <formula>AND(AG$9&gt;=14/24,AG$9&lt;20/24)</formula>
    </cfRule>
    <cfRule type="expression" dxfId="526" priority="171">
      <formula>AND(AG$9&gt;=8/24,AG$9&lt;14/24)</formula>
    </cfRule>
    <cfRule type="expression" dxfId="525" priority="172">
      <formula>AG$9&lt;8/24</formula>
    </cfRule>
  </conditionalFormatting>
  <conditionalFormatting sqref="AG91:AG92">
    <cfRule type="expression" dxfId="524" priority="164">
      <formula>AG91&gt;$AG91</formula>
    </cfRule>
  </conditionalFormatting>
  <conditionalFormatting sqref="AG96">
    <cfRule type="expression" dxfId="523" priority="165">
      <formula>AG$9&gt;=20/24</formula>
    </cfRule>
    <cfRule type="expression" dxfId="522" priority="166">
      <formula>AND(AG$9&gt;=14/24,AG$9&lt;20/24)</formula>
    </cfRule>
    <cfRule type="expression" dxfId="521" priority="167">
      <formula>AND(AG$9&gt;=8/24,AG$9&lt;14/24)</formula>
    </cfRule>
    <cfRule type="expression" dxfId="520" priority="168">
      <formula>AG$9&lt;8/24</formula>
    </cfRule>
  </conditionalFormatting>
  <conditionalFormatting sqref="AG113">
    <cfRule type="expression" dxfId="519" priority="186">
      <formula>AG$9&gt;=20/24</formula>
    </cfRule>
    <cfRule type="expression" dxfId="518" priority="187">
      <formula>AND(AG$9&gt;=14/24,AG$9&lt;20/24)</formula>
    </cfRule>
    <cfRule type="expression" dxfId="517" priority="188">
      <formula>AND(AG$9&gt;=8/24,AG$9&lt;14/24)</formula>
    </cfRule>
    <cfRule type="expression" dxfId="516" priority="189">
      <formula>AG$9&lt;8/24</formula>
    </cfRule>
  </conditionalFormatting>
  <conditionalFormatting sqref="AH8:AI10">
    <cfRule type="expression" dxfId="515" priority="77">
      <formula>AH$9&gt;=20/24</formula>
    </cfRule>
    <cfRule type="expression" dxfId="514" priority="78">
      <formula>AND(AH$9&gt;=14/24,AH$9&lt;20/24)</formula>
    </cfRule>
    <cfRule type="expression" dxfId="513" priority="79">
      <formula>AND(AH$9&gt;=8/24,AH$9&lt;14/24)</formula>
    </cfRule>
    <cfRule type="expression" dxfId="512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11" priority="207">
      <formula>AJ$9&gt;=20/24</formula>
    </cfRule>
    <cfRule type="expression" dxfId="510" priority="208">
      <formula>AND(AJ$9&gt;=14/24,AJ$9&lt;20/24)</formula>
    </cfRule>
    <cfRule type="expression" dxfId="509" priority="209">
      <formula>AND(AJ$9&gt;=8/24,AJ$9&lt;14/24)</formula>
    </cfRule>
    <cfRule type="expression" dxfId="508" priority="210">
      <formula>AJ$9&lt;8/24</formula>
    </cfRule>
  </conditionalFormatting>
  <conditionalFormatting sqref="AL99:AN99 AL105:AN105">
    <cfRule type="expression" dxfId="507" priority="179">
      <formula>AL$9&gt;=20/24</formula>
    </cfRule>
    <cfRule type="expression" dxfId="506" priority="180">
      <formula>AND(AL$9&gt;=14/24,AL$9&lt;20/24)</formula>
    </cfRule>
    <cfRule type="expression" dxfId="505" priority="181">
      <formula>AND(AL$9&gt;=8/24,AL$9&lt;14/24)</formula>
    </cfRule>
    <cfRule type="expression" dxfId="504" priority="182">
      <formula>AL$9&lt;8/24</formula>
    </cfRule>
  </conditionalFormatting>
  <conditionalFormatting sqref="AM15:AM21 AN16:AR21">
    <cfRule type="expression" dxfId="503" priority="103">
      <formula>AX$9&gt;=20/24</formula>
    </cfRule>
    <cfRule type="expression" dxfId="502" priority="104">
      <formula>AND(AX$9&gt;=14/24,AX$9&lt;20/24)</formula>
    </cfRule>
    <cfRule type="expression" dxfId="501" priority="105">
      <formula>AND(AX$9&gt;=8/24,AX$9&lt;14/24)</formula>
    </cfRule>
    <cfRule type="expression" dxfId="500" priority="106">
      <formula>AX$9&lt;8/24</formula>
    </cfRule>
  </conditionalFormatting>
  <conditionalFormatting sqref="AN100:AN103">
    <cfRule type="expression" dxfId="499" priority="175">
      <formula>AN$9&gt;=20/24</formula>
    </cfRule>
    <cfRule type="expression" dxfId="498" priority="176">
      <formula>AND(AN$9&gt;=14/24,AN$9&lt;20/24)</formula>
    </cfRule>
    <cfRule type="expression" dxfId="497" priority="177">
      <formula>AND(AN$9&gt;=8/24,AN$9&lt;14/24)</formula>
    </cfRule>
    <cfRule type="expression" dxfId="496" priority="178">
      <formula>AN$9&lt;8/24</formula>
    </cfRule>
  </conditionalFormatting>
  <conditionalFormatting sqref="AN15:AR15">
    <cfRule type="expression" dxfId="495" priority="91">
      <formula>U$9&gt;=20/24</formula>
    </cfRule>
    <cfRule type="expression" dxfId="494" priority="92">
      <formula>AND(U$9&gt;=14/24,U$9&lt;20/24)</formula>
    </cfRule>
    <cfRule type="expression" dxfId="493" priority="93">
      <formula>AND(U$9&gt;=8/24,U$9&lt;14/24)</formula>
    </cfRule>
    <cfRule type="expression" dxfId="492" priority="94">
      <formula>U$9&lt;8/24</formula>
    </cfRule>
  </conditionalFormatting>
  <conditionalFormatting sqref="AS15">
    <cfRule type="expression" dxfId="491" priority="99">
      <formula>AA$9&gt;=20/24</formula>
    </cfRule>
    <cfRule type="expression" dxfId="490" priority="100">
      <formula>AND(AA$9&gt;=14/24,AA$9&lt;20/24)</formula>
    </cfRule>
    <cfRule type="expression" dxfId="489" priority="101">
      <formula>AND(AA$9&gt;=8/24,AA$9&lt;14/24)</formula>
    </cfRule>
    <cfRule type="expression" dxfId="488" priority="102">
      <formula>AA$9&lt;8/24</formula>
    </cfRule>
  </conditionalFormatting>
  <conditionalFormatting sqref="AS16:AS21">
    <cfRule type="expression" dxfId="487" priority="107">
      <formula>BE$9&gt;=20/24</formula>
    </cfRule>
    <cfRule type="expression" dxfId="486" priority="108">
      <formula>AND(BE$9&gt;=14/24,BE$9&lt;20/24)</formula>
    </cfRule>
    <cfRule type="expression" dxfId="485" priority="109">
      <formula>AND(BE$9&gt;=8/24,BE$9&lt;14/24)</formula>
    </cfRule>
    <cfRule type="expression" dxfId="484" priority="110">
      <formula>BE$9&lt;8/24</formula>
    </cfRule>
  </conditionalFormatting>
  <conditionalFormatting sqref="AT15 AX15:BJ15">
    <cfRule type="expression" dxfId="483" priority="111">
      <formula>AC$9&gt;=20/24</formula>
    </cfRule>
    <cfRule type="expression" dxfId="482" priority="112">
      <formula>AND(AC$9&gt;=14/24,AC$9&lt;20/24)</formula>
    </cfRule>
    <cfRule type="expression" dxfId="481" priority="113">
      <formula>AND(AC$9&gt;=8/24,AC$9&lt;14/24)</formula>
    </cfRule>
    <cfRule type="expression" dxfId="480" priority="114">
      <formula>AC$9&lt;8/24</formula>
    </cfRule>
  </conditionalFormatting>
  <conditionalFormatting sqref="AT16:AT21">
    <cfRule type="expression" dxfId="479" priority="115">
      <formula>BG$9&gt;=20/24</formula>
    </cfRule>
    <cfRule type="expression" dxfId="478" priority="116">
      <formula>AND(BG$9&gt;=14/24,BG$9&lt;20/24)</formula>
    </cfRule>
    <cfRule type="expression" dxfId="477" priority="117">
      <formula>AND(BG$9&gt;=8/24,BG$9&lt;14/24)</formula>
    </cfRule>
    <cfRule type="expression" dxfId="476" priority="118">
      <formula>BG$9&lt;8/24</formula>
    </cfRule>
  </conditionalFormatting>
  <conditionalFormatting sqref="AU15:AV15">
    <cfRule type="expression" dxfId="475" priority="119">
      <formula>AE$9&gt;=20/24</formula>
    </cfRule>
    <cfRule type="expression" dxfId="474" priority="120">
      <formula>AND(AE$9&gt;=14/24,AE$9&lt;20/24)</formula>
    </cfRule>
    <cfRule type="expression" dxfId="473" priority="121">
      <formula>AND(AE$9&gt;=8/24,AE$9&lt;14/24)</formula>
    </cfRule>
    <cfRule type="expression" dxfId="472" priority="122">
      <formula>AE$9&lt;8/24</formula>
    </cfRule>
  </conditionalFormatting>
  <conditionalFormatting sqref="AU16:BJ21">
    <cfRule type="expression" dxfId="471" priority="123">
      <formula>BI$9&gt;=20/24</formula>
    </cfRule>
    <cfRule type="expression" dxfId="470" priority="124">
      <formula>AND(BI$9&gt;=14/24,BI$9&lt;20/24)</formula>
    </cfRule>
    <cfRule type="expression" dxfId="469" priority="125">
      <formula>AND(BI$9&gt;=8/24,BI$9&lt;14/24)</formula>
    </cfRule>
    <cfRule type="expression" dxfId="468" priority="126">
      <formula>BI$9&lt;8/24</formula>
    </cfRule>
  </conditionalFormatting>
  <conditionalFormatting sqref="AW15">
    <cfRule type="expression" dxfId="467" priority="95">
      <formula>B$9&gt;=20/24</formula>
    </cfRule>
    <cfRule type="expression" dxfId="466" priority="96">
      <formula>AND(B$9&gt;=14/24,B$9&lt;20/24)</formula>
    </cfRule>
    <cfRule type="expression" dxfId="465" priority="97">
      <formula>AND(B$9&gt;=8/24,B$9&lt;14/24)</formula>
    </cfRule>
    <cfRule type="expression" dxfId="464" priority="98">
      <formula>B$9&lt;8/24</formula>
    </cfRule>
  </conditionalFormatting>
  <conditionalFormatting sqref="A73">
    <cfRule type="expression" dxfId="463" priority="46">
      <formula>$AH73=0</formula>
    </cfRule>
  </conditionalFormatting>
  <conditionalFormatting sqref="B97:E107 B137:E152 B109:E112 B125:E134 B154:E159 F97:F102 G98:G102 F126:G133 F137:G151 B11:Y13 AA11:AF13">
    <cfRule type="expression" dxfId="462" priority="42">
      <formula>B$9&gt;=20/24</formula>
    </cfRule>
  </conditionalFormatting>
  <conditionalFormatting sqref="B97:E107 B137:E152 B109:E112 B125:E134 B154:E159 F97:F102 G98:G102 F126:G133 F137:G151 B11:Y13 AA11:AF13">
    <cfRule type="expression" dxfId="461" priority="43">
      <formula>AND(B$9&gt;=14/24,B$9&lt;20/24)</formula>
    </cfRule>
    <cfRule type="expression" dxfId="460" priority="44">
      <formula>AND(B$9&gt;=8/24,B$9&lt;14/24)</formula>
    </cfRule>
    <cfRule type="expression" dxfId="459" priority="45">
      <formula>B$9&lt;8/24</formula>
    </cfRule>
  </conditionalFormatting>
  <conditionalFormatting sqref="B14:Y28 AA14:AF16">
    <cfRule type="expression" dxfId="458" priority="32">
      <formula>B14&gt;$AG14*1</formula>
    </cfRule>
    <cfRule type="expression" dxfId="457" priority="33">
      <formula>B$9&gt;=20/24</formula>
    </cfRule>
    <cfRule type="expression" dxfId="456" priority="34">
      <formula>AND(B$9&gt;=14/24,B$9&lt;20/24)</formula>
    </cfRule>
    <cfRule type="expression" dxfId="455" priority="35">
      <formula>AND(B$9&gt;=8/24,B$9&lt;14/24)</formula>
    </cfRule>
    <cfRule type="expression" dxfId="454" priority="36">
      <formula>B$9&lt;8/24</formula>
    </cfRule>
  </conditionalFormatting>
  <conditionalFormatting sqref="B161:E167">
    <cfRule type="expression" dxfId="453" priority="37">
      <formula>B$9&gt;=20/24</formula>
    </cfRule>
    <cfRule type="expression" dxfId="452" priority="38">
      <formula>AND(B$9&gt;=14/24,B$9&lt;20/24)</formula>
    </cfRule>
    <cfRule type="expression" dxfId="451" priority="39">
      <formula>AND(B$9&gt;=8/24,B$9&lt;14/24)</formula>
    </cfRule>
    <cfRule type="expression" dxfId="450" priority="40">
      <formula>B$9&lt;8/24</formula>
    </cfRule>
  </conditionalFormatting>
  <conditionalFormatting sqref="B169:E274">
    <cfRule type="expression" dxfId="449" priority="28">
      <formula>B$9&gt;=20/24</formula>
    </cfRule>
    <cfRule type="expression" dxfId="448" priority="29">
      <formula>AND(B$9&gt;=14/24,B$9&lt;20/24)</formula>
    </cfRule>
    <cfRule type="expression" dxfId="447" priority="30">
      <formula>AND(B$9&gt;=8/24,B$9&lt;14/24)</formula>
    </cfRule>
    <cfRule type="expression" dxfId="446" priority="31">
      <formula>B$9&lt;8/24</formula>
    </cfRule>
  </conditionalFormatting>
  <conditionalFormatting sqref="B11:Y13 AA11:AF13">
    <cfRule type="expression" dxfId="445" priority="41">
      <formula>B11&gt;$AG11*1</formula>
    </cfRule>
  </conditionalFormatting>
  <conditionalFormatting sqref="A153">
    <cfRule type="expression" dxfId="444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43" priority="23">
      <formula>AL$9&gt;=20/24</formula>
    </cfRule>
  </conditionalFormatting>
  <conditionalFormatting sqref="AL153">
    <cfRule type="expression" dxfId="442" priority="24">
      <formula>AND(AL$9&gt;=14/24,AL$9&lt;20/24)</formula>
    </cfRule>
    <cfRule type="expression" dxfId="441" priority="25">
      <formula>AND(AL$9&gt;=8/24,AL$9&lt;14/24)</formula>
    </cfRule>
    <cfRule type="expression" dxfId="440" priority="26">
      <formula>AL$9&lt;8/24</formula>
    </cfRule>
  </conditionalFormatting>
  <conditionalFormatting sqref="Z56:AF68">
    <cfRule type="expression" dxfId="439" priority="1">
      <formula>Z$9&gt;=20/24</formula>
    </cfRule>
    <cfRule type="expression" dxfId="438" priority="2">
      <formula>AND(Z$9&gt;=14/24,Z$9&lt;20/24)</formula>
    </cfRule>
    <cfRule type="expression" dxfId="437" priority="3">
      <formula>AND(Z$9&gt;=8/24,Z$9&lt;14/24)</formula>
    </cfRule>
  </conditionalFormatting>
  <conditionalFormatting sqref="Z11:Z13">
    <cfRule type="expression" dxfId="436" priority="17">
      <formula>Z$9&gt;=20/24</formula>
    </cfRule>
  </conditionalFormatting>
  <conditionalFormatting sqref="Z11:Z13">
    <cfRule type="expression" dxfId="435" priority="18">
      <formula>AND(Z$9&gt;=14/24,Z$9&lt;20/24)</formula>
    </cfRule>
    <cfRule type="expression" dxfId="434" priority="19">
      <formula>AND(Z$9&gt;=8/24,Z$9&lt;14/24)</formula>
    </cfRule>
    <cfRule type="expression" dxfId="433" priority="20">
      <formula>Z$9&lt;8/24</formula>
    </cfRule>
  </conditionalFormatting>
  <conditionalFormatting sqref="Z14:Z53 AA17:AF53">
    <cfRule type="expression" dxfId="432" priority="11">
      <formula>Z14&gt;$AG14*1</formula>
    </cfRule>
    <cfRule type="expression" dxfId="431" priority="12">
      <formula>Z$9&gt;=20/24</formula>
    </cfRule>
    <cfRule type="expression" dxfId="430" priority="13">
      <formula>AND(Z$9&gt;=14/24,Z$9&lt;20/24)</formula>
    </cfRule>
    <cfRule type="expression" dxfId="429" priority="14">
      <formula>AND(Z$9&gt;=8/24,Z$9&lt;14/24)</formula>
    </cfRule>
    <cfRule type="expression" dxfId="428" priority="15">
      <formula>Z$9&lt;8/24</formula>
    </cfRule>
  </conditionalFormatting>
  <conditionalFormatting sqref="Z54:AF55">
    <cfRule type="expression" dxfId="427" priority="10">
      <formula>Z$9&lt;8/24</formula>
    </cfRule>
  </conditionalFormatting>
  <conditionalFormatting sqref="Z54:AF55 Z69:AF70">
    <cfRule type="expression" dxfId="426" priority="7">
      <formula>Z$9&gt;=20/24</formula>
    </cfRule>
    <cfRule type="expression" dxfId="425" priority="8">
      <formula>AND(Z$9&gt;=14/24,Z$9&lt;20/24)</formula>
    </cfRule>
    <cfRule type="expression" dxfId="424" priority="9">
      <formula>AND(Z$9&gt;=8/24,Z$9&lt;14/24)</formula>
    </cfRule>
  </conditionalFormatting>
  <conditionalFormatting sqref="Z69:AF70">
    <cfRule type="expression" dxfId="423" priority="21">
      <formula>Z$9&lt;8/24</formula>
    </cfRule>
  </conditionalFormatting>
  <conditionalFormatting sqref="Z11:Z13 Z69:AF69">
    <cfRule type="expression" dxfId="422" priority="16">
      <formula>Z11&gt;$AG11*1</formula>
    </cfRule>
  </conditionalFormatting>
  <conditionalFormatting sqref="Z54:AF55 Z69:AF70">
    <cfRule type="expression" dxfId="421" priority="22">
      <formula>Z54&gt;$AG54</formula>
    </cfRule>
  </conditionalFormatting>
  <conditionalFormatting sqref="Z56:AF68">
    <cfRule type="expression" dxfId="420" priority="4">
      <formula>Z$9&lt;8/24</formula>
    </cfRule>
  </conditionalFormatting>
  <conditionalFormatting sqref="Z63:AF65">
    <cfRule type="expression" dxfId="419" priority="5">
      <formula>Z63&gt;$AG63</formula>
    </cfRule>
  </conditionalFormatting>
  <conditionalFormatting sqref="Z66:AF68 Z56:AF62">
    <cfRule type="expression" dxfId="418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J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133" sqref="AF133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8" t="s">
        <v>0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9" t="s">
        <v>1</v>
      </c>
      <c r="AH1" s="219"/>
      <c r="AI1" s="219"/>
      <c r="AL1" s="2"/>
    </row>
    <row r="2" spans="1:88" ht="20.25" hidden="1">
      <c r="A2" s="3"/>
      <c r="B2" s="220" t="s">
        <v>2</v>
      </c>
      <c r="C2" s="4"/>
      <c r="D2" s="222" t="s">
        <v>3</v>
      </c>
      <c r="E2" s="4"/>
      <c r="F2" s="222" t="s">
        <v>4</v>
      </c>
      <c r="G2" s="4"/>
      <c r="H2" s="222" t="s">
        <v>5</v>
      </c>
      <c r="I2" s="5"/>
      <c r="J2" s="224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1"/>
      <c r="C3" s="16"/>
      <c r="D3" s="223"/>
      <c r="E3" s="16"/>
      <c r="F3" s="223"/>
      <c r="G3" s="16"/>
      <c r="H3" s="223"/>
      <c r="I3" s="17"/>
      <c r="J3" s="224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5" t="str">
        <f ca="1">"2080/"&amp;"10/"&amp;INT(MID(CELL("filename",D6),FIND("]",CELL("filename",D6))+1,200))</f>
        <v>2080/10/2</v>
      </c>
      <c r="C4" s="225"/>
      <c r="D4" s="225"/>
      <c r="E4" s="226" t="str">
        <f ca="1">"2080/"&amp;"10/"&amp;INT(MID(CELL("filename",G6),FIND("]",CELL("filename",G6))+1,200))</f>
        <v>2080/10/2</v>
      </c>
      <c r="F4" s="226"/>
      <c r="G4" s="226"/>
      <c r="H4" s="226" t="str">
        <f ca="1">TEXT(E4,"dddd")</f>
        <v>Wednesday</v>
      </c>
      <c r="I4" s="226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1516.3000000000002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30" t="s">
        <v>15</v>
      </c>
      <c r="N8" s="231"/>
      <c r="O8" s="231"/>
      <c r="P8" s="231"/>
      <c r="Q8" s="231"/>
      <c r="R8" s="232"/>
      <c r="S8" s="230" t="s">
        <v>16</v>
      </c>
      <c r="T8" s="231"/>
      <c r="U8" s="231"/>
      <c r="V8" s="231"/>
      <c r="W8" s="231"/>
      <c r="X8" s="231"/>
      <c r="Y8" s="231"/>
      <c r="Z8" s="231"/>
      <c r="AA8" s="232"/>
      <c r="AB8" s="230" t="s">
        <v>17</v>
      </c>
      <c r="AC8" s="231"/>
      <c r="AD8" s="231"/>
      <c r="AE8" s="231"/>
      <c r="AF8" s="232"/>
      <c r="AG8" s="39"/>
      <c r="AH8" s="233"/>
      <c r="AI8" s="233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5" t="s">
        <v>18</v>
      </c>
      <c r="B9" s="237">
        <v>0</v>
      </c>
      <c r="C9" s="237">
        <v>4.1666666666666664E-2</v>
      </c>
      <c r="D9" s="237">
        <v>8.3333333333333301E-2</v>
      </c>
      <c r="E9" s="237">
        <v>0.125</v>
      </c>
      <c r="F9" s="237">
        <v>0.16666666666666699</v>
      </c>
      <c r="G9" s="237">
        <v>0.20833333333333301</v>
      </c>
      <c r="H9" s="237">
        <v>0.22916666666666699</v>
      </c>
      <c r="I9" s="237">
        <v>0.25</v>
      </c>
      <c r="J9" s="237">
        <v>0.27083333333333298</v>
      </c>
      <c r="K9" s="237">
        <v>0.29166666666666702</v>
      </c>
      <c r="L9" s="237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3">
        <v>0.58333333333333304</v>
      </c>
      <c r="T9" s="233">
        <v>0.625</v>
      </c>
      <c r="U9" s="233">
        <v>0.66666666666666696</v>
      </c>
      <c r="V9" s="233">
        <v>0.70833333333333304</v>
      </c>
      <c r="W9" s="233">
        <v>0.72916666666666696</v>
      </c>
      <c r="X9" s="233">
        <v>0.75</v>
      </c>
      <c r="Y9" s="233">
        <v>0.77083333333333304</v>
      </c>
      <c r="Z9" s="233">
        <v>0.79166666666666696</v>
      </c>
      <c r="AA9" s="233">
        <v>0.8125</v>
      </c>
      <c r="AB9" s="233">
        <v>0.83333333333333304</v>
      </c>
      <c r="AC9" s="233">
        <v>0.85416666666666696</v>
      </c>
      <c r="AD9" s="233">
        <v>0.875</v>
      </c>
      <c r="AE9" s="233">
        <v>0.91666666666666696</v>
      </c>
      <c r="AF9" s="233">
        <v>0.95833333333333304</v>
      </c>
      <c r="AG9" s="240" t="s">
        <v>1</v>
      </c>
      <c r="AH9" s="234"/>
      <c r="AI9" s="234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6"/>
      <c r="B10" s="237"/>
      <c r="C10" s="237"/>
      <c r="D10" s="237"/>
      <c r="E10" s="237"/>
      <c r="F10" s="237"/>
      <c r="G10" s="237"/>
      <c r="H10" s="234"/>
      <c r="I10" s="234"/>
      <c r="J10" s="234"/>
      <c r="K10" s="234"/>
      <c r="L10" s="234"/>
      <c r="M10" s="239"/>
      <c r="N10" s="239"/>
      <c r="O10" s="239"/>
      <c r="P10" s="239"/>
      <c r="Q10" s="239"/>
      <c r="R10" s="239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41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465.1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315.39999999999998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1956.8000000000002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1516.3000000000002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0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465.1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0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10.3</v>
      </c>
      <c r="AG86" s="64">
        <v>15</v>
      </c>
      <c r="AH86" s="46">
        <f t="shared" si="28"/>
        <v>10.3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10.5</v>
      </c>
      <c r="AG87" s="64">
        <v>14.1</v>
      </c>
      <c r="AH87" s="46">
        <f t="shared" si="28"/>
        <v>10.5</v>
      </c>
      <c r="AI87" s="47">
        <f t="shared" si="29"/>
        <v>7.3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4.9000000000000004</v>
      </c>
      <c r="AG88" s="64">
        <v>14</v>
      </c>
      <c r="AH88" s="46">
        <f t="shared" si="28"/>
        <v>8.3000000000000007</v>
      </c>
      <c r="AI88" s="47">
        <f t="shared" si="29"/>
        <v>4.9000000000000004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315.39999999999998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2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3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1956.8000000000002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1956.8000000000002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1516.3000000000002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144.14000000000001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415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417" priority="97">
      <formula>$AH11=0</formula>
    </cfRule>
  </conditionalFormatting>
  <conditionalFormatting sqref="A101:A102">
    <cfRule type="expression" dxfId="416" priority="265">
      <formula>$AH106=0</formula>
    </cfRule>
  </conditionalFormatting>
  <conditionalFormatting sqref="A103:A107">
    <cfRule type="expression" dxfId="415" priority="213">
      <formula>$AH102=0</formula>
    </cfRule>
  </conditionalFormatting>
  <conditionalFormatting sqref="A160:A167">
    <cfRule type="expression" dxfId="414" priority="266">
      <formula>$AH267=0</formula>
    </cfRule>
  </conditionalFormatting>
  <conditionalFormatting sqref="A168:A275">
    <cfRule type="expression" dxfId="413" priority="136">
      <formula>$AH168=0</formula>
    </cfRule>
  </conditionalFormatting>
  <conditionalFormatting sqref="B8">
    <cfRule type="expression" dxfId="412" priority="261">
      <formula>AND(C$9&gt;=14/24,C$9&lt;20/24)</formula>
    </cfRule>
    <cfRule type="expression" dxfId="411" priority="262">
      <formula>AND(C$9&gt;=8/24,C$9&lt;14/24)</formula>
    </cfRule>
    <cfRule type="expression" dxfId="410" priority="263">
      <formula>C$9&lt;8/24</formula>
    </cfRule>
    <cfRule type="expression" dxfId="409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408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407" priority="179">
      <formula>AND(B$9&gt;=14/24,B$9&lt;20/24)</formula>
    </cfRule>
    <cfRule type="expression" dxfId="406" priority="180">
      <formula>AND(B$9&gt;=8/24,B$9&lt;14/24)</formula>
    </cfRule>
    <cfRule type="expression" dxfId="405" priority="181">
      <formula>B$9&lt;8/24</formula>
    </cfRule>
  </conditionalFormatting>
  <conditionalFormatting sqref="AA14:AF53">
    <cfRule type="expression" dxfId="404" priority="121">
      <formula>AA14&gt;$AG14*1</formula>
    </cfRule>
    <cfRule type="expression" dxfId="403" priority="122">
      <formula>AA$9&gt;=20/24</formula>
    </cfRule>
    <cfRule type="expression" dxfId="402" priority="123">
      <formula>AND(AA$9&gt;=14/24,AA$9&lt;20/24)</formula>
    </cfRule>
    <cfRule type="expression" dxfId="401" priority="124">
      <formula>AND(AA$9&gt;=8/24,AA$9&lt;14/24)</formula>
    </cfRule>
    <cfRule type="expression" dxfId="400" priority="125">
      <formula>AA$9&lt;8/24</formula>
    </cfRule>
  </conditionalFormatting>
  <conditionalFormatting sqref="AA54:AF68">
    <cfRule type="expression" dxfId="399" priority="114">
      <formula>AA$9&lt;8/24</formula>
    </cfRule>
  </conditionalFormatting>
  <conditionalFormatting sqref="AA54:AF70">
    <cfRule type="expression" dxfId="398" priority="111">
      <formula>AA$9&gt;=20/24</formula>
    </cfRule>
    <cfRule type="expression" dxfId="397" priority="112">
      <formula>AND(AA$9&gt;=14/24,AA$9&lt;20/24)</formula>
    </cfRule>
    <cfRule type="expression" dxfId="396" priority="113">
      <formula>AND(AA$9&gt;=8/24,AA$9&lt;14/24)</formula>
    </cfRule>
  </conditionalFormatting>
  <conditionalFormatting sqref="AA63:AF65">
    <cfRule type="expression" dxfId="395" priority="115">
      <formula>AA63&gt;$AG63</formula>
    </cfRule>
  </conditionalFormatting>
  <conditionalFormatting sqref="AA69:AF70">
    <cfRule type="expression" dxfId="394" priority="186">
      <formula>AA$9&lt;8/24</formula>
    </cfRule>
  </conditionalFormatting>
  <conditionalFormatting sqref="AA72:AF75">
    <cfRule type="expression" dxfId="393" priority="102">
      <formula>AA72&gt;$AG72*1</formula>
    </cfRule>
  </conditionalFormatting>
  <conditionalFormatting sqref="AA73:AF75">
    <cfRule type="expression" dxfId="392" priority="103">
      <formula>AA$9&gt;=20/24</formula>
    </cfRule>
    <cfRule type="expression" dxfId="391" priority="104">
      <formula>AND(AA$9&gt;=14/24,AA$9&lt;20/24)</formula>
    </cfRule>
    <cfRule type="expression" dxfId="390" priority="105">
      <formula>AND(AA$9&gt;=8/24,AA$9&lt;14/24)</formula>
    </cfRule>
    <cfRule type="expression" dxfId="389" priority="106">
      <formula>AA$9&lt;8/24</formula>
    </cfRule>
  </conditionalFormatting>
  <conditionalFormatting sqref="C161:AF167">
    <cfRule type="expression" dxfId="388" priority="137">
      <formula>C$9&gt;=20/24</formula>
    </cfRule>
    <cfRule type="expression" dxfId="387" priority="138">
      <formula>AND(C$9&gt;=14/24,C$9&lt;20/24)</formula>
    </cfRule>
    <cfRule type="expression" dxfId="386" priority="139">
      <formula>AND(C$9&gt;=8/24,C$9&lt;14/24)</formula>
    </cfRule>
    <cfRule type="expression" dxfId="385" priority="140">
      <formula>C$9&lt;8/24</formula>
    </cfRule>
  </conditionalFormatting>
  <conditionalFormatting sqref="C169:AF274">
    <cfRule type="expression" dxfId="384" priority="98">
      <formula>C$9&gt;=20/24</formula>
    </cfRule>
    <cfRule type="expression" dxfId="383" priority="99">
      <formula>AND(C$9&gt;=14/24,C$9&lt;20/24)</formula>
    </cfRule>
    <cfRule type="expression" dxfId="382" priority="100">
      <formula>AND(C$9&gt;=8/24,C$9&lt;14/24)</formula>
    </cfRule>
    <cfRule type="expression" dxfId="381" priority="101">
      <formula>C$9&lt;8/24</formula>
    </cfRule>
  </conditionalFormatting>
  <conditionalFormatting sqref="B96:M96 B91:D92 E91:M95 AA96:AG96 N91:Z96 B71:AG71 B78:AG78 AA11:AF13 AA69:AF70 AA76:AF77 AA79:AF95">
    <cfRule type="expression" dxfId="380" priority="177">
      <formula>B11&gt;$AG11*1</formula>
    </cfRule>
  </conditionalFormatting>
  <conditionalFormatting sqref="G78:AF78 AA72:AF72 AA76:AF77">
    <cfRule type="expression" dxfId="379" priority="197">
      <formula>G$9&gt;=20/24</formula>
    </cfRule>
    <cfRule type="expression" dxfId="378" priority="198">
      <formula>AND(G$9&gt;=14/24,G$9&lt;20/24)</formula>
    </cfRule>
    <cfRule type="expression" dxfId="377" priority="199">
      <formula>AND(G$9&gt;=8/24,G$9&lt;14/24)</formula>
    </cfRule>
    <cfRule type="expression" dxfId="376" priority="200">
      <formula>G$9&lt;8/24</formula>
    </cfRule>
  </conditionalFormatting>
  <conditionalFormatting sqref="AA73:AF75">
    <cfRule type="expression" dxfId="375" priority="107">
      <formula>AA$9&gt;=20/24</formula>
    </cfRule>
    <cfRule type="expression" dxfId="374" priority="108">
      <formula>AND(AA$9&gt;=14/24,AA$9&lt;20/24)</formula>
    </cfRule>
    <cfRule type="expression" dxfId="373" priority="109">
      <formula>AND(AA$9&gt;=8/24,AA$9&lt;14/24)</formula>
    </cfRule>
    <cfRule type="expression" dxfId="372" priority="110">
      <formula>AA$9&lt;8/24</formula>
    </cfRule>
  </conditionalFormatting>
  <conditionalFormatting sqref="AA84:AF84">
    <cfRule type="expression" dxfId="371" priority="201">
      <formula>AA$9&gt;=20/24</formula>
    </cfRule>
    <cfRule type="expression" dxfId="370" priority="202">
      <formula>AND(AA$9&gt;=14/24,AA$9&lt;20/24)</formula>
    </cfRule>
    <cfRule type="expression" dxfId="369" priority="203">
      <formula>AND(AA$9&gt;=8/24,AA$9&lt;14/24)</formula>
    </cfRule>
    <cfRule type="expression" dxfId="368" priority="204">
      <formula>AA$9&lt;8/24</formula>
    </cfRule>
  </conditionalFormatting>
  <conditionalFormatting sqref="M8 S8 AB8">
    <cfRule type="expression" dxfId="367" priority="254">
      <formula>AND(N$9&gt;=14/24,N$9&lt;20/24)</formula>
    </cfRule>
    <cfRule type="expression" dxfId="366" priority="255">
      <formula>AND(N$9&gt;=8/24,N$9&lt;14/24)</formula>
    </cfRule>
    <cfRule type="expression" dxfId="365" priority="256">
      <formula>N$9&lt;8/24</formula>
    </cfRule>
  </conditionalFormatting>
  <conditionalFormatting sqref="AA80:AF83">
    <cfRule type="expression" dxfId="364" priority="209">
      <formula>AA$9&gt;=20/24</formula>
    </cfRule>
    <cfRule type="expression" dxfId="363" priority="210">
      <formula>AND(AA$9&gt;=14/24,AA$9&lt;20/24)</formula>
    </cfRule>
    <cfRule type="expression" dxfId="362" priority="211">
      <formula>AND(AA$9&gt;=8/24,AA$9&lt;14/24)</formula>
    </cfRule>
    <cfRule type="expression" dxfId="361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60" priority="253">
      <formula>N$9&gt;=20/24</formula>
    </cfRule>
  </conditionalFormatting>
  <conditionalFormatting sqref="S8">
    <cfRule type="expression" dxfId="359" priority="244">
      <formula>U$9&gt;=20/24</formula>
    </cfRule>
    <cfRule type="expression" dxfId="358" priority="245">
      <formula>AND(U$9&gt;=14/24,U$9&lt;20/24)</formula>
    </cfRule>
    <cfRule type="expression" dxfId="357" priority="246">
      <formula>AND(U$9&gt;=8/24,U$9&lt;14/24)</formula>
    </cfRule>
    <cfRule type="expression" dxfId="356" priority="247">
      <formula>U$9&lt;8/24</formula>
    </cfRule>
  </conditionalFormatting>
  <conditionalFormatting sqref="AA79:AF84">
    <cfRule type="expression" dxfId="355" priority="131">
      <formula>AA$9&gt;=20/24</formula>
    </cfRule>
    <cfRule type="expression" dxfId="354" priority="132">
      <formula>AND(AA$9&gt;=14/24,AA$9&lt;20/24)</formula>
    </cfRule>
    <cfRule type="expression" dxfId="353" priority="133">
      <formula>AND(AA$9&gt;=8/24,AA$9&lt;14/24)</formula>
    </cfRule>
    <cfRule type="expression" dxfId="352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351" priority="116">
      <formula>AA$9&gt;=20/24</formula>
    </cfRule>
    <cfRule type="expression" dxfId="350" priority="117">
      <formula>AND(AA$9&gt;=14/24,AA$9&lt;20/24)</formula>
    </cfRule>
    <cfRule type="expression" dxfId="349" priority="118">
      <formula>AND(AA$9&gt;=8/24,AA$9&lt;14/24)</formula>
    </cfRule>
    <cfRule type="expression" dxfId="348" priority="119">
      <formula>AA$9&lt;8/24</formula>
    </cfRule>
  </conditionalFormatting>
  <conditionalFormatting sqref="AA54:AF62 AA66:AF69">
    <cfRule type="expression" dxfId="346" priority="191">
      <formula>AA54&gt;$AG54</formula>
    </cfRule>
  </conditionalFormatting>
  <conditionalFormatting sqref="AB8">
    <cfRule type="expression" dxfId="345" priority="240">
      <formula>AD$9&gt;=20/24</formula>
    </cfRule>
    <cfRule type="expression" dxfId="344" priority="241">
      <formula>AND(AD$9&gt;=14/24,AD$9&lt;20/24)</formula>
    </cfRule>
    <cfRule type="expression" dxfId="343" priority="242">
      <formula>AND(AD$9&gt;=8/24,AD$9&lt;14/24)</formula>
    </cfRule>
    <cfRule type="expression" dxfId="342" priority="243">
      <formula>AD$9&lt;8/24</formula>
    </cfRule>
  </conditionalFormatting>
  <conditionalFormatting sqref="AG78">
    <cfRule type="expression" dxfId="336" priority="219">
      <formula>AG$9&gt;=20/24</formula>
    </cfRule>
    <cfRule type="expression" dxfId="335" priority="220">
      <formula>AND(AG$9&gt;=14/24,AG$9&lt;20/24)</formula>
    </cfRule>
    <cfRule type="expression" dxfId="334" priority="221">
      <formula>AND(AG$9&gt;=8/24,AG$9&lt;14/24)</formula>
    </cfRule>
    <cfRule type="expression" dxfId="333" priority="222">
      <formula>AG$9&lt;8/24</formula>
    </cfRule>
  </conditionalFormatting>
  <conditionalFormatting sqref="AG91:AG92">
    <cfRule type="expression" dxfId="332" priority="214">
      <formula>AG91&gt;$AG91</formula>
    </cfRule>
  </conditionalFormatting>
  <conditionalFormatting sqref="AG96">
    <cfRule type="expression" dxfId="331" priority="215">
      <formula>AG$9&gt;=20/24</formula>
    </cfRule>
    <cfRule type="expression" dxfId="330" priority="216">
      <formula>AND(AG$9&gt;=14/24,AG$9&lt;20/24)</formula>
    </cfRule>
    <cfRule type="expression" dxfId="329" priority="217">
      <formula>AND(AG$9&gt;=8/24,AG$9&lt;14/24)</formula>
    </cfRule>
    <cfRule type="expression" dxfId="328" priority="218">
      <formula>AG$9&lt;8/24</formula>
    </cfRule>
  </conditionalFormatting>
  <conditionalFormatting sqref="AG113">
    <cfRule type="expression" dxfId="327" priority="236">
      <formula>AG$9&gt;=20/24</formula>
    </cfRule>
    <cfRule type="expression" dxfId="326" priority="237">
      <formula>AND(AG$9&gt;=14/24,AG$9&lt;20/24)</formula>
    </cfRule>
    <cfRule type="expression" dxfId="325" priority="238">
      <formula>AND(AG$9&gt;=8/24,AG$9&lt;14/24)</formula>
    </cfRule>
    <cfRule type="expression" dxfId="324" priority="239">
      <formula>AG$9&lt;8/24</formula>
    </cfRule>
  </conditionalFormatting>
  <conditionalFormatting sqref="AH8:AI10">
    <cfRule type="expression" dxfId="323" priority="127">
      <formula>AH$9&gt;=20/24</formula>
    </cfRule>
    <cfRule type="expression" dxfId="322" priority="128">
      <formula>AND(AH$9&gt;=14/24,AH$9&lt;20/24)</formula>
    </cfRule>
    <cfRule type="expression" dxfId="321" priority="129">
      <formula>AND(AH$9&gt;=8/24,AH$9&lt;14/24)</formula>
    </cfRule>
    <cfRule type="expression" dxfId="320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9" priority="257">
      <formula>AJ$9&gt;=20/24</formula>
    </cfRule>
    <cfRule type="expression" dxfId="318" priority="258">
      <formula>AND(AJ$9&gt;=14/24,AJ$9&lt;20/24)</formula>
    </cfRule>
    <cfRule type="expression" dxfId="317" priority="259">
      <formula>AND(AJ$9&gt;=8/24,AJ$9&lt;14/24)</formula>
    </cfRule>
    <cfRule type="expression" dxfId="316" priority="260">
      <formula>AJ$9&lt;8/24</formula>
    </cfRule>
  </conditionalFormatting>
  <conditionalFormatting sqref="AL99:AN99 AL105:AN105">
    <cfRule type="expression" dxfId="315" priority="229">
      <formula>AL$9&gt;=20/24</formula>
    </cfRule>
    <cfRule type="expression" dxfId="314" priority="230">
      <formula>AND(AL$9&gt;=14/24,AL$9&lt;20/24)</formula>
    </cfRule>
    <cfRule type="expression" dxfId="313" priority="231">
      <formula>AND(AL$9&gt;=8/24,AL$9&lt;14/24)</formula>
    </cfRule>
    <cfRule type="expression" dxfId="312" priority="232">
      <formula>AL$9&lt;8/24</formula>
    </cfRule>
  </conditionalFormatting>
  <conditionalFormatting sqref="AM15:AM21 AN16:AR21">
    <cfRule type="expression" dxfId="311" priority="153">
      <formula>AX$9&gt;=20/24</formula>
    </cfRule>
    <cfRule type="expression" dxfId="310" priority="154">
      <formula>AND(AX$9&gt;=14/24,AX$9&lt;20/24)</formula>
    </cfRule>
    <cfRule type="expression" dxfId="309" priority="155">
      <formula>AND(AX$9&gt;=8/24,AX$9&lt;14/24)</formula>
    </cfRule>
    <cfRule type="expression" dxfId="308" priority="156">
      <formula>AX$9&lt;8/24</formula>
    </cfRule>
  </conditionalFormatting>
  <conditionalFormatting sqref="AN100:AN103">
    <cfRule type="expression" dxfId="307" priority="225">
      <formula>AN$9&gt;=20/24</formula>
    </cfRule>
    <cfRule type="expression" dxfId="306" priority="226">
      <formula>AND(AN$9&gt;=14/24,AN$9&lt;20/24)</formula>
    </cfRule>
    <cfRule type="expression" dxfId="305" priority="227">
      <formula>AND(AN$9&gt;=8/24,AN$9&lt;14/24)</formula>
    </cfRule>
    <cfRule type="expression" dxfId="304" priority="228">
      <formula>AN$9&lt;8/24</formula>
    </cfRule>
  </conditionalFormatting>
  <conditionalFormatting sqref="AN15:AR15">
    <cfRule type="expression" dxfId="303" priority="141">
      <formula>U$9&gt;=20/24</formula>
    </cfRule>
    <cfRule type="expression" dxfId="302" priority="142">
      <formula>AND(U$9&gt;=14/24,U$9&lt;20/24)</formula>
    </cfRule>
    <cfRule type="expression" dxfId="301" priority="143">
      <formula>AND(U$9&gt;=8/24,U$9&lt;14/24)</formula>
    </cfRule>
    <cfRule type="expression" dxfId="300" priority="144">
      <formula>U$9&lt;8/24</formula>
    </cfRule>
  </conditionalFormatting>
  <conditionalFormatting sqref="AS15">
    <cfRule type="expression" dxfId="299" priority="149">
      <formula>AA$9&gt;=20/24</formula>
    </cfRule>
    <cfRule type="expression" dxfId="298" priority="150">
      <formula>AND(AA$9&gt;=14/24,AA$9&lt;20/24)</formula>
    </cfRule>
    <cfRule type="expression" dxfId="297" priority="151">
      <formula>AND(AA$9&gt;=8/24,AA$9&lt;14/24)</formula>
    </cfRule>
    <cfRule type="expression" dxfId="296" priority="152">
      <formula>AA$9&lt;8/24</formula>
    </cfRule>
  </conditionalFormatting>
  <conditionalFormatting sqref="AS16:AS21">
    <cfRule type="expression" dxfId="295" priority="157">
      <formula>BE$9&gt;=20/24</formula>
    </cfRule>
    <cfRule type="expression" dxfId="294" priority="158">
      <formula>AND(BE$9&gt;=14/24,BE$9&lt;20/24)</formula>
    </cfRule>
    <cfRule type="expression" dxfId="293" priority="159">
      <formula>AND(BE$9&gt;=8/24,BE$9&lt;14/24)</formula>
    </cfRule>
    <cfRule type="expression" dxfId="292" priority="160">
      <formula>BE$9&lt;8/24</formula>
    </cfRule>
  </conditionalFormatting>
  <conditionalFormatting sqref="AT15 AX15:BJ15">
    <cfRule type="expression" dxfId="291" priority="161">
      <formula>AC$9&gt;=20/24</formula>
    </cfRule>
    <cfRule type="expression" dxfId="290" priority="162">
      <formula>AND(AC$9&gt;=14/24,AC$9&lt;20/24)</formula>
    </cfRule>
    <cfRule type="expression" dxfId="289" priority="163">
      <formula>AND(AC$9&gt;=8/24,AC$9&lt;14/24)</formula>
    </cfRule>
    <cfRule type="expression" dxfId="288" priority="164">
      <formula>AC$9&lt;8/24</formula>
    </cfRule>
  </conditionalFormatting>
  <conditionalFormatting sqref="AT16:AT21">
    <cfRule type="expression" dxfId="287" priority="165">
      <formula>BG$9&gt;=20/24</formula>
    </cfRule>
    <cfRule type="expression" dxfId="286" priority="166">
      <formula>AND(BG$9&gt;=14/24,BG$9&lt;20/24)</formula>
    </cfRule>
    <cfRule type="expression" dxfId="285" priority="167">
      <formula>AND(BG$9&gt;=8/24,BG$9&lt;14/24)</formula>
    </cfRule>
    <cfRule type="expression" dxfId="284" priority="168">
      <formula>BG$9&lt;8/24</formula>
    </cfRule>
  </conditionalFormatting>
  <conditionalFormatting sqref="AU15:AV15">
    <cfRule type="expression" dxfId="283" priority="169">
      <formula>AE$9&gt;=20/24</formula>
    </cfRule>
    <cfRule type="expression" dxfId="282" priority="170">
      <formula>AND(AE$9&gt;=14/24,AE$9&lt;20/24)</formula>
    </cfRule>
    <cfRule type="expression" dxfId="281" priority="171">
      <formula>AND(AE$9&gt;=8/24,AE$9&lt;14/24)</formula>
    </cfRule>
    <cfRule type="expression" dxfId="280" priority="172">
      <formula>AE$9&lt;8/24</formula>
    </cfRule>
  </conditionalFormatting>
  <conditionalFormatting sqref="AU16:BJ21">
    <cfRule type="expression" dxfId="279" priority="173">
      <formula>BI$9&gt;=20/24</formula>
    </cfRule>
    <cfRule type="expression" dxfId="278" priority="174">
      <formula>AND(BI$9&gt;=14/24,BI$9&lt;20/24)</formula>
    </cfRule>
    <cfRule type="expression" dxfId="277" priority="175">
      <formula>AND(BI$9&gt;=8/24,BI$9&lt;14/24)</formula>
    </cfRule>
    <cfRule type="expression" dxfId="276" priority="176">
      <formula>BI$9&lt;8/24</formula>
    </cfRule>
  </conditionalFormatting>
  <conditionalFormatting sqref="AW15">
    <cfRule type="expression" dxfId="275" priority="145">
      <formula>B$9&gt;=20/24</formula>
    </cfRule>
    <cfRule type="expression" dxfId="274" priority="146">
      <formula>AND(B$9&gt;=14/24,B$9&lt;20/24)</formula>
    </cfRule>
    <cfRule type="expression" dxfId="273" priority="147">
      <formula>AND(B$9&gt;=8/24,B$9&lt;14/24)</formula>
    </cfRule>
    <cfRule type="expression" dxfId="272" priority="148">
      <formula>B$9&lt;8/24</formula>
    </cfRule>
  </conditionalFormatting>
  <conditionalFormatting sqref="A73">
    <cfRule type="expression" dxfId="271" priority="96">
      <formula>$AH73=0</formula>
    </cfRule>
  </conditionalFormatting>
  <conditionalFormatting sqref="B97:B107 B152 B109:B112 B125 B154:B159 B134">
    <cfRule type="expression" dxfId="270" priority="92">
      <formula>B$9&gt;=20/24</formula>
    </cfRule>
  </conditionalFormatting>
  <conditionalFormatting sqref="B97:B107 B152 B109:B112 B125 B154:B159 B134">
    <cfRule type="expression" dxfId="269" priority="93">
      <formula>AND(B$9&gt;=14/24,B$9&lt;20/24)</formula>
    </cfRule>
    <cfRule type="expression" dxfId="268" priority="94">
      <formula>AND(B$9&gt;=8/24,B$9&lt;14/24)</formula>
    </cfRule>
    <cfRule type="expression" dxfId="267" priority="95">
      <formula>B$9&lt;8/24</formula>
    </cfRule>
  </conditionalFormatting>
  <conditionalFormatting sqref="B161:B167">
    <cfRule type="expression" dxfId="266" priority="87">
      <formula>B$9&gt;=20/24</formula>
    </cfRule>
    <cfRule type="expression" dxfId="265" priority="88">
      <formula>AND(B$9&gt;=14/24,B$9&lt;20/24)</formula>
    </cfRule>
    <cfRule type="expression" dxfId="264" priority="89">
      <formula>AND(B$9&gt;=8/24,B$9&lt;14/24)</formula>
    </cfRule>
    <cfRule type="expression" dxfId="263" priority="90">
      <formula>B$9&lt;8/24</formula>
    </cfRule>
  </conditionalFormatting>
  <conditionalFormatting sqref="B169:B274">
    <cfRule type="expression" dxfId="262" priority="78">
      <formula>B$9&gt;=20/24</formula>
    </cfRule>
    <cfRule type="expression" dxfId="261" priority="79">
      <formula>AND(B$9&gt;=14/24,B$9&lt;20/24)</formula>
    </cfRule>
    <cfRule type="expression" dxfId="260" priority="80">
      <formula>AND(B$9&gt;=8/24,B$9&lt;14/24)</formula>
    </cfRule>
    <cfRule type="expression" dxfId="259" priority="81">
      <formula>B$9&lt;8/24</formula>
    </cfRule>
  </conditionalFormatting>
  <conditionalFormatting sqref="A153">
    <cfRule type="expression" dxfId="258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57" priority="73">
      <formula>AL$9&gt;=20/24</formula>
    </cfRule>
  </conditionalFormatting>
  <conditionalFormatting sqref="AL153">
    <cfRule type="expression" dxfId="256" priority="74">
      <formula>AND(AL$9&gt;=14/24,AL$9&lt;20/24)</formula>
    </cfRule>
    <cfRule type="expression" dxfId="255" priority="75">
      <formula>AND(AL$9&gt;=8/24,AL$9&lt;14/24)</formula>
    </cfRule>
    <cfRule type="expression" dxfId="254" priority="76">
      <formula>AL$9&lt;8/24</formula>
    </cfRule>
  </conditionalFormatting>
  <conditionalFormatting sqref="B11:Z13">
    <cfRule type="expression" dxfId="253" priority="69">
      <formula>B$9&gt;=20/24</formula>
    </cfRule>
  </conditionalFormatting>
  <conditionalFormatting sqref="B11:Z13">
    <cfRule type="expression" dxfId="252" priority="70">
      <formula>AND(B$9&gt;=14/24,B$9&lt;20/24)</formula>
    </cfRule>
    <cfRule type="expression" dxfId="251" priority="71">
      <formula>AND(B$9&gt;=8/24,B$9&lt;14/24)</formula>
    </cfRule>
    <cfRule type="expression" dxfId="250" priority="72">
      <formula>B$9&lt;8/24</formula>
    </cfRule>
  </conditionalFormatting>
  <conditionalFormatting sqref="B14:Z16">
    <cfRule type="expression" dxfId="249" priority="63">
      <formula>B14&gt;$AG14*1</formula>
    </cfRule>
    <cfRule type="expression" dxfId="248" priority="64">
      <formula>B$9&gt;=20/24</formula>
    </cfRule>
    <cfRule type="expression" dxfId="247" priority="65">
      <formula>AND(B$9&gt;=14/24,B$9&lt;20/24)</formula>
    </cfRule>
    <cfRule type="expression" dxfId="246" priority="66">
      <formula>AND(B$9&gt;=8/24,B$9&lt;14/24)</formula>
    </cfRule>
    <cfRule type="expression" dxfId="245" priority="67">
      <formula>B$9&lt;8/24</formula>
    </cfRule>
  </conditionalFormatting>
  <conditionalFormatting sqref="B11:Z13">
    <cfRule type="expression" dxfId="244" priority="68">
      <formula>B11&gt;$AG11*1</formula>
    </cfRule>
  </conditionalFormatting>
  <conditionalFormatting sqref="B17:Z53">
    <cfRule type="expression" dxfId="243" priority="55">
      <formula>B17&gt;$AG17*1</formula>
    </cfRule>
    <cfRule type="expression" dxfId="242" priority="56">
      <formula>B$9&gt;=20/24</formula>
    </cfRule>
    <cfRule type="expression" dxfId="241" priority="57">
      <formula>AND(B$9&gt;=14/24,B$9&lt;20/24)</formula>
    </cfRule>
    <cfRule type="expression" dxfId="240" priority="58">
      <formula>AND(B$9&gt;=8/24,B$9&lt;14/24)</formula>
    </cfRule>
    <cfRule type="expression" dxfId="239" priority="59">
      <formula>B$9&lt;8/24</formula>
    </cfRule>
  </conditionalFormatting>
  <conditionalFormatting sqref="B54:Z55">
    <cfRule type="expression" dxfId="238" priority="54">
      <formula>B$9&lt;8/24</formula>
    </cfRule>
  </conditionalFormatting>
  <conditionalFormatting sqref="B54:Z55 B69:Z70">
    <cfRule type="expression" dxfId="237" priority="51">
      <formula>B$9&gt;=20/24</formula>
    </cfRule>
    <cfRule type="expression" dxfId="236" priority="52">
      <formula>AND(B$9&gt;=14/24,B$9&lt;20/24)</formula>
    </cfRule>
    <cfRule type="expression" dxfId="235" priority="53">
      <formula>AND(B$9&gt;=8/24,B$9&lt;14/24)</formula>
    </cfRule>
  </conditionalFormatting>
  <conditionalFormatting sqref="B69:Z70">
    <cfRule type="expression" dxfId="234" priority="61">
      <formula>B$9&lt;8/24</formula>
    </cfRule>
  </conditionalFormatting>
  <conditionalFormatting sqref="B69:Z69">
    <cfRule type="expression" dxfId="233" priority="60">
      <formula>B69&gt;$AG69*1</formula>
    </cfRule>
  </conditionalFormatting>
  <conditionalFormatting sqref="B54:Z55 B69:Z70">
    <cfRule type="expression" dxfId="232" priority="62">
      <formula>B54&gt;$AG54</formula>
    </cfRule>
  </conditionalFormatting>
  <conditionalFormatting sqref="B56:Z68">
    <cfRule type="expression" dxfId="231" priority="48">
      <formula>B$9&lt;8/24</formula>
    </cfRule>
  </conditionalFormatting>
  <conditionalFormatting sqref="B56:Z68">
    <cfRule type="expression" dxfId="230" priority="45">
      <formula>B$9&gt;=20/24</formula>
    </cfRule>
    <cfRule type="expression" dxfId="229" priority="46">
      <formula>AND(B$9&gt;=14/24,B$9&lt;20/24)</formula>
    </cfRule>
    <cfRule type="expression" dxfId="228" priority="47">
      <formula>AND(B$9&gt;=8/24,B$9&lt;14/24)</formula>
    </cfRule>
  </conditionalFormatting>
  <conditionalFormatting sqref="B63:Z65">
    <cfRule type="expression" dxfId="227" priority="49">
      <formula>B63&gt;$AG63</formula>
    </cfRule>
  </conditionalFormatting>
  <conditionalFormatting sqref="B56:Z62 B66:Z68">
    <cfRule type="expression" dxfId="226" priority="50">
      <formula>B56&gt;$AG56</formula>
    </cfRule>
  </conditionalFormatting>
  <conditionalFormatting sqref="B76:Z77">
    <cfRule type="expression" dxfId="225" priority="37">
      <formula>B$9&gt;=20/24</formula>
    </cfRule>
  </conditionalFormatting>
  <conditionalFormatting sqref="B76:Z77">
    <cfRule type="expression" dxfId="224" priority="38">
      <formula>AND(B$9&gt;=14/24,B$9&lt;20/24)</formula>
    </cfRule>
    <cfRule type="expression" dxfId="223" priority="39">
      <formula>AND(B$9&gt;=8/24,B$9&lt;14/24)</formula>
    </cfRule>
    <cfRule type="expression" dxfId="222" priority="40">
      <formula>B$9&lt;8/24</formula>
    </cfRule>
  </conditionalFormatting>
  <conditionalFormatting sqref="B72:Z75">
    <cfRule type="expression" dxfId="221" priority="31">
      <formula>B72&gt;$AG72*1</formula>
    </cfRule>
  </conditionalFormatting>
  <conditionalFormatting sqref="B73:Z75">
    <cfRule type="expression" dxfId="220" priority="32">
      <formula>B$9&gt;=20/24</formula>
    </cfRule>
    <cfRule type="expression" dxfId="219" priority="33">
      <formula>AND(B$9&gt;=14/24,B$9&lt;20/24)</formula>
    </cfRule>
    <cfRule type="expression" dxfId="218" priority="34">
      <formula>AND(B$9&gt;=8/24,B$9&lt;14/24)</formula>
    </cfRule>
    <cfRule type="expression" dxfId="217" priority="35">
      <formula>B$9&lt;8/24</formula>
    </cfRule>
  </conditionalFormatting>
  <conditionalFormatting sqref="B76:Z77">
    <cfRule type="expression" dxfId="216" priority="36">
      <formula>B76&gt;$AG76*1</formula>
    </cfRule>
  </conditionalFormatting>
  <conditionalFormatting sqref="B72:Z72">
    <cfRule type="expression" dxfId="215" priority="41">
      <formula>B$9&gt;=20/24</formula>
    </cfRule>
    <cfRule type="expression" dxfId="214" priority="42">
      <formula>AND(B$9&gt;=14/24,B$9&lt;20/24)</formula>
    </cfRule>
    <cfRule type="expression" dxfId="213" priority="43">
      <formula>AND(B$9&gt;=8/24,B$9&lt;14/24)</formula>
    </cfRule>
    <cfRule type="expression" dxfId="212" priority="44">
      <formula>B$9&lt;8/24</formula>
    </cfRule>
  </conditionalFormatting>
  <conditionalFormatting sqref="B85:Z90">
    <cfRule type="expression" dxfId="211" priority="19">
      <formula>B$9&gt;=20/24</formula>
    </cfRule>
  </conditionalFormatting>
  <conditionalFormatting sqref="B85:Z90">
    <cfRule type="expression" dxfId="210" priority="20">
      <formula>AND(B$9&gt;=14/24,B$9&lt;20/24)</formula>
    </cfRule>
    <cfRule type="expression" dxfId="209" priority="21">
      <formula>AND(B$9&gt;=8/24,B$9&lt;14/24)</formula>
    </cfRule>
    <cfRule type="expression" dxfId="208" priority="22">
      <formula>B$9&lt;8/24</formula>
    </cfRule>
  </conditionalFormatting>
  <conditionalFormatting sqref="B79:Z90">
    <cfRule type="expression" dxfId="207" priority="18">
      <formula>B79&gt;$AG79*1</formula>
    </cfRule>
  </conditionalFormatting>
  <conditionalFormatting sqref="B84:Z84">
    <cfRule type="expression" dxfId="206" priority="23">
      <formula>B$9&gt;=20/24</formula>
    </cfRule>
    <cfRule type="expression" dxfId="205" priority="24">
      <formula>AND(B$9&gt;=14/24,B$9&lt;20/24)</formula>
    </cfRule>
    <cfRule type="expression" dxfId="204" priority="25">
      <formula>AND(B$9&gt;=8/24,B$9&lt;14/24)</formula>
    </cfRule>
    <cfRule type="expression" dxfId="203" priority="26">
      <formula>B$9&lt;8/24</formula>
    </cfRule>
  </conditionalFormatting>
  <conditionalFormatting sqref="B80:Z83">
    <cfRule type="expression" dxfId="202" priority="27">
      <formula>B$9&gt;=20/24</formula>
    </cfRule>
    <cfRule type="expression" dxfId="201" priority="28">
      <formula>AND(B$9&gt;=14/24,B$9&lt;20/24)</formula>
    </cfRule>
    <cfRule type="expression" dxfId="200" priority="29">
      <formula>AND(B$9&gt;=8/24,B$9&lt;14/24)</formula>
    </cfRule>
    <cfRule type="expression" dxfId="199" priority="30">
      <formula>B$9&lt;8/24</formula>
    </cfRule>
  </conditionalFormatting>
  <conditionalFormatting sqref="B79:Z84">
    <cfRule type="expression" dxfId="198" priority="14">
      <formula>B$9&gt;=20/24</formula>
    </cfRule>
    <cfRule type="expression" dxfId="197" priority="15">
      <formula>AND(B$9&gt;=14/24,B$9&lt;20/24)</formula>
    </cfRule>
    <cfRule type="expression" dxfId="196" priority="16">
      <formula>AND(B$9&gt;=8/24,B$9&lt;14/24)</formula>
    </cfRule>
    <cfRule type="expression" dxfId="195" priority="17">
      <formula>B$9&lt;8/24</formula>
    </cfRule>
  </conditionalFormatting>
  <conditionalFormatting sqref="B93:D95">
    <cfRule type="expression" dxfId="194" priority="10">
      <formula>B$9&gt;=20/24</formula>
    </cfRule>
  </conditionalFormatting>
  <conditionalFormatting sqref="B93:D95">
    <cfRule type="expression" dxfId="193" priority="11">
      <formula>AND(B$9&gt;=14/24,B$9&lt;20/24)</formula>
    </cfRule>
    <cfRule type="expression" dxfId="192" priority="12">
      <formula>AND(B$9&gt;=8/24,B$9&lt;14/24)</formula>
    </cfRule>
    <cfRule type="expression" dxfId="191" priority="13">
      <formula>B$9&lt;8/24</formula>
    </cfRule>
  </conditionalFormatting>
  <conditionalFormatting sqref="B93:D95">
    <cfRule type="expression" dxfId="190" priority="9">
      <formula>B93&gt;$AG93*1</formula>
    </cfRule>
  </conditionalFormatting>
  <conditionalFormatting sqref="B126:C133">
    <cfRule type="expression" dxfId="189" priority="5">
      <formula>B$9&gt;=20/24</formula>
    </cfRule>
  </conditionalFormatting>
  <conditionalFormatting sqref="B126:C133">
    <cfRule type="expression" dxfId="188" priority="6">
      <formula>AND(B$9&gt;=14/24,B$9&lt;20/24)</formula>
    </cfRule>
    <cfRule type="expression" dxfId="187" priority="7">
      <formula>AND(B$9&gt;=8/24,B$9&lt;14/24)</formula>
    </cfRule>
    <cfRule type="expression" dxfId="186" priority="8">
      <formula>B$9&lt;8/24</formula>
    </cfRule>
  </conditionalFormatting>
  <conditionalFormatting sqref="B137:C151">
    <cfRule type="expression" dxfId="185" priority="1">
      <formula>B$9&gt;=20/24</formula>
    </cfRule>
  </conditionalFormatting>
  <conditionalFormatting sqref="B137:C151">
    <cfRule type="expression" dxfId="184" priority="2">
      <formula>AND(B$9&gt;=14/24,B$9&lt;20/24)</formula>
    </cfRule>
    <cfRule type="expression" dxfId="183" priority="3">
      <formula>AND(B$9&gt;=8/24,B$9&lt;14/24)</formula>
    </cfRule>
    <cfRule type="expression" dxfId="182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8" t="s">
        <v>0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9" t="s">
        <v>1</v>
      </c>
      <c r="AH1" s="219"/>
      <c r="AI1" s="219"/>
      <c r="AL1" s="2"/>
    </row>
    <row r="2" spans="1:88" ht="20.25" hidden="1">
      <c r="A2" s="3"/>
      <c r="B2" s="220" t="s">
        <v>2</v>
      </c>
      <c r="C2" s="4"/>
      <c r="D2" s="222" t="s">
        <v>3</v>
      </c>
      <c r="E2" s="4"/>
      <c r="F2" s="222" t="s">
        <v>4</v>
      </c>
      <c r="G2" s="4"/>
      <c r="H2" s="222" t="s">
        <v>5</v>
      </c>
      <c r="I2" s="5"/>
      <c r="J2" s="224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1"/>
      <c r="C3" s="16"/>
      <c r="D3" s="223"/>
      <c r="E3" s="16"/>
      <c r="F3" s="223"/>
      <c r="G3" s="16"/>
      <c r="H3" s="223"/>
      <c r="I3" s="17"/>
      <c r="J3" s="224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5" t="e">
        <f ca="1">"2080/"&amp;"10/"&amp;INT(MID(CELL("filename",D6),FIND("]",CELL("filename",D6))+1,200))</f>
        <v>#VALUE!</v>
      </c>
      <c r="C4" s="225"/>
      <c r="D4" s="225"/>
      <c r="E4" s="226" t="e">
        <f ca="1">"2080/"&amp;"10/"&amp;INT(MID(CELL("filename",G6),FIND("]",CELL("filename",G6))+1,200))</f>
        <v>#VALUE!</v>
      </c>
      <c r="F4" s="226"/>
      <c r="G4" s="226"/>
      <c r="H4" s="226" t="e">
        <f ca="1">TEXT(E4,"dddd")</f>
        <v>#VALUE!</v>
      </c>
      <c r="I4" s="226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30" t="s">
        <v>15</v>
      </c>
      <c r="N8" s="231"/>
      <c r="O8" s="231"/>
      <c r="P8" s="231"/>
      <c r="Q8" s="231"/>
      <c r="R8" s="232"/>
      <c r="S8" s="230" t="s">
        <v>16</v>
      </c>
      <c r="T8" s="231"/>
      <c r="U8" s="231"/>
      <c r="V8" s="231"/>
      <c r="W8" s="231"/>
      <c r="X8" s="231"/>
      <c r="Y8" s="231"/>
      <c r="Z8" s="231"/>
      <c r="AA8" s="232"/>
      <c r="AB8" s="230" t="s">
        <v>17</v>
      </c>
      <c r="AC8" s="231"/>
      <c r="AD8" s="231"/>
      <c r="AE8" s="231"/>
      <c r="AF8" s="232"/>
      <c r="AG8" s="39"/>
      <c r="AH8" s="233"/>
      <c r="AI8" s="233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5" t="s">
        <v>18</v>
      </c>
      <c r="B9" s="237">
        <v>0</v>
      </c>
      <c r="C9" s="237">
        <v>4.1666666666666664E-2</v>
      </c>
      <c r="D9" s="237">
        <v>8.3333333333333301E-2</v>
      </c>
      <c r="E9" s="237">
        <v>0.125</v>
      </c>
      <c r="F9" s="237">
        <v>0.16666666666666699</v>
      </c>
      <c r="G9" s="237">
        <v>0.20833333333333301</v>
      </c>
      <c r="H9" s="237">
        <v>0.22916666666666699</v>
      </c>
      <c r="I9" s="237">
        <v>0.25</v>
      </c>
      <c r="J9" s="237">
        <v>0.27083333333333298</v>
      </c>
      <c r="K9" s="237">
        <v>0.29166666666666702</v>
      </c>
      <c r="L9" s="237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3">
        <v>0.58333333333333304</v>
      </c>
      <c r="T9" s="233">
        <v>0.625</v>
      </c>
      <c r="U9" s="233">
        <v>0.66666666666666696</v>
      </c>
      <c r="V9" s="233">
        <v>0.70833333333333304</v>
      </c>
      <c r="W9" s="233">
        <v>0.72916666666666696</v>
      </c>
      <c r="X9" s="233">
        <v>0.75</v>
      </c>
      <c r="Y9" s="233">
        <v>0.77083333333333304</v>
      </c>
      <c r="Z9" s="233">
        <v>0.79166666666666696</v>
      </c>
      <c r="AA9" s="233">
        <v>0.8125</v>
      </c>
      <c r="AB9" s="233">
        <v>0.83333333333333304</v>
      </c>
      <c r="AC9" s="233">
        <v>0.85416666666666696</v>
      </c>
      <c r="AD9" s="233">
        <v>0.875</v>
      </c>
      <c r="AE9" s="233">
        <v>0.91666666666666696</v>
      </c>
      <c r="AF9" s="233">
        <v>0.95833333333333304</v>
      </c>
      <c r="AG9" s="240" t="s">
        <v>1</v>
      </c>
      <c r="AH9" s="234"/>
      <c r="AI9" s="234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6"/>
      <c r="B10" s="237"/>
      <c r="C10" s="237"/>
      <c r="D10" s="237"/>
      <c r="E10" s="237"/>
      <c r="F10" s="237"/>
      <c r="G10" s="237"/>
      <c r="H10" s="234"/>
      <c r="I10" s="234"/>
      <c r="J10" s="234"/>
      <c r="K10" s="234"/>
      <c r="L10" s="234"/>
      <c r="M10" s="239"/>
      <c r="N10" s="239"/>
      <c r="O10" s="239"/>
      <c r="P10" s="239"/>
      <c r="Q10" s="239"/>
      <c r="R10" s="239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41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17" activePane="bottomLeft" state="frozen"/>
      <selection activeCell="AO100" sqref="AO100"/>
      <selection pane="bottomLeft" activeCell="U45" sqref="U4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>
        <v>-50</v>
      </c>
      <c r="F31" s="193"/>
      <c r="G31" s="193"/>
      <c r="H31" s="193"/>
      <c r="I31" s="193">
        <v>-50</v>
      </c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-530</v>
      </c>
      <c r="R31" s="193"/>
      <c r="S31" s="206">
        <v>70.16</v>
      </c>
      <c r="T31" s="206">
        <v>0</v>
      </c>
      <c r="U31" s="213">
        <f t="shared" si="1"/>
        <v>-459.84000000000003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>
        <v>-50</v>
      </c>
      <c r="F32" s="193"/>
      <c r="G32" s="193"/>
      <c r="H32" s="193"/>
      <c r="I32" s="193">
        <v>-50</v>
      </c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-530</v>
      </c>
      <c r="R32" s="193"/>
      <c r="S32" s="206">
        <v>70.16</v>
      </c>
      <c r="T32" s="206">
        <v>0</v>
      </c>
      <c r="U32" s="213">
        <f t="shared" si="1"/>
        <v>-459.84000000000003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>
        <v>-50</v>
      </c>
      <c r="F33" s="193"/>
      <c r="G33" s="193"/>
      <c r="H33" s="193"/>
      <c r="I33" s="193">
        <v>-50</v>
      </c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-530</v>
      </c>
      <c r="R33" s="193"/>
      <c r="S33" s="206">
        <v>70.16</v>
      </c>
      <c r="T33" s="206">
        <v>0</v>
      </c>
      <c r="U33" s="213">
        <f t="shared" si="1"/>
        <v>-459.84000000000003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>
        <v>-50</v>
      </c>
      <c r="F34" s="193"/>
      <c r="G34" s="193"/>
      <c r="H34" s="193"/>
      <c r="I34" s="193">
        <v>-50</v>
      </c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-530</v>
      </c>
      <c r="R34" s="193"/>
      <c r="S34" s="206">
        <v>70.16</v>
      </c>
      <c r="T34" s="206">
        <v>0</v>
      </c>
      <c r="U34" s="213">
        <f t="shared" si="1"/>
        <v>-459.84000000000003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>
        <v>-50</v>
      </c>
      <c r="F35" s="193"/>
      <c r="G35" s="193"/>
      <c r="H35" s="193"/>
      <c r="I35" s="193">
        <v>-50</v>
      </c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-530</v>
      </c>
      <c r="R35" s="193"/>
      <c r="S35" s="206">
        <v>70.16</v>
      </c>
      <c r="T35" s="206">
        <v>0</v>
      </c>
      <c r="U35" s="213">
        <f t="shared" si="1"/>
        <v>-459.84000000000003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>
        <v>-50</v>
      </c>
      <c r="F36" s="193"/>
      <c r="G36" s="193"/>
      <c r="H36" s="193"/>
      <c r="I36" s="193">
        <v>-50</v>
      </c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-530</v>
      </c>
      <c r="R36" s="193"/>
      <c r="S36" s="206">
        <v>70.16</v>
      </c>
      <c r="T36" s="206">
        <v>0</v>
      </c>
      <c r="U36" s="213">
        <f t="shared" si="1"/>
        <v>-459.84000000000003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>
        <v>-50</v>
      </c>
      <c r="F37" s="193"/>
      <c r="G37" s="193"/>
      <c r="H37" s="193"/>
      <c r="I37" s="193">
        <v>-50</v>
      </c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-530</v>
      </c>
      <c r="R37" s="193"/>
      <c r="S37" s="206">
        <v>70.16</v>
      </c>
      <c r="T37" s="206">
        <v>0</v>
      </c>
      <c r="U37" s="213">
        <f t="shared" si="1"/>
        <v>-459.84000000000003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>
        <v>-50</v>
      </c>
      <c r="F38" s="193"/>
      <c r="G38" s="193"/>
      <c r="H38" s="193"/>
      <c r="I38" s="193">
        <v>-50</v>
      </c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-530</v>
      </c>
      <c r="R38" s="193"/>
      <c r="S38" s="206">
        <v>70.16</v>
      </c>
      <c r="T38" s="206">
        <v>0</v>
      </c>
      <c r="U38" s="213">
        <f t="shared" si="1"/>
        <v>-459.84000000000003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>
        <v>-50</v>
      </c>
      <c r="F39" s="193"/>
      <c r="G39" s="193"/>
      <c r="H39" s="193"/>
      <c r="I39" s="193">
        <v>-50</v>
      </c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-530</v>
      </c>
      <c r="R39" s="193"/>
      <c r="S39" s="206">
        <v>70.16</v>
      </c>
      <c r="T39" s="206">
        <v>0</v>
      </c>
      <c r="U39" s="213">
        <f t="shared" si="1"/>
        <v>-459.84000000000003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>
        <v>-50</v>
      </c>
      <c r="F40" s="193"/>
      <c r="G40" s="193"/>
      <c r="H40" s="193"/>
      <c r="I40" s="193">
        <v>-50</v>
      </c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-530</v>
      </c>
      <c r="R40" s="193"/>
      <c r="S40" s="206">
        <v>70.16</v>
      </c>
      <c r="T40" s="206">
        <v>0</v>
      </c>
      <c r="U40" s="213">
        <f t="shared" si="1"/>
        <v>-459.84000000000003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>
        <v>-50</v>
      </c>
      <c r="F41" s="193"/>
      <c r="G41" s="193"/>
      <c r="H41" s="193"/>
      <c r="I41" s="193">
        <v>-50</v>
      </c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-530</v>
      </c>
      <c r="R41" s="193"/>
      <c r="S41" s="206">
        <v>70.16</v>
      </c>
      <c r="T41" s="206">
        <v>0</v>
      </c>
      <c r="U41" s="213">
        <f t="shared" si="1"/>
        <v>-459.84000000000003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>
        <v>-50</v>
      </c>
      <c r="F42" s="193"/>
      <c r="G42" s="193"/>
      <c r="H42" s="193"/>
      <c r="I42" s="193">
        <v>-50</v>
      </c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-530</v>
      </c>
      <c r="R42" s="193"/>
      <c r="S42" s="206">
        <v>70.16</v>
      </c>
      <c r="T42" s="206">
        <v>0</v>
      </c>
      <c r="U42" s="213">
        <f t="shared" si="1"/>
        <v>-459.84000000000003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>
        <v>-50</v>
      </c>
      <c r="F43" s="193"/>
      <c r="G43" s="193"/>
      <c r="H43" s="193"/>
      <c r="I43" s="193">
        <v>-50</v>
      </c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-530</v>
      </c>
      <c r="R43" s="193"/>
      <c r="S43" s="206">
        <v>70.16</v>
      </c>
      <c r="T43" s="206">
        <v>0</v>
      </c>
      <c r="U43" s="213">
        <f t="shared" si="1"/>
        <v>-459.84000000000003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>
        <v>-50</v>
      </c>
      <c r="F44" s="193"/>
      <c r="G44" s="193"/>
      <c r="H44" s="193"/>
      <c r="I44" s="193">
        <v>-50</v>
      </c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-530</v>
      </c>
      <c r="R44" s="193"/>
      <c r="S44" s="206">
        <v>70.16</v>
      </c>
      <c r="T44" s="206">
        <v>0</v>
      </c>
      <c r="U44" s="213">
        <f t="shared" si="1"/>
        <v>-459.84000000000003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>
        <v>-50</v>
      </c>
      <c r="F45" s="193"/>
      <c r="G45" s="193"/>
      <c r="H45" s="193"/>
      <c r="I45" s="193">
        <v>-50</v>
      </c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-530</v>
      </c>
      <c r="R45" s="193"/>
      <c r="S45" s="206">
        <v>70.16</v>
      </c>
      <c r="T45" s="206">
        <v>0</v>
      </c>
      <c r="U45" s="213">
        <f t="shared" si="1"/>
        <v>-459.84000000000003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>
        <v>-50</v>
      </c>
      <c r="F46" s="193"/>
      <c r="G46" s="193"/>
      <c r="H46" s="193"/>
      <c r="I46" s="193">
        <v>-50</v>
      </c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-530</v>
      </c>
      <c r="R46" s="193"/>
      <c r="S46" s="206">
        <v>70.16</v>
      </c>
      <c r="T46" s="206">
        <v>0</v>
      </c>
      <c r="U46" s="213">
        <f t="shared" si="1"/>
        <v>-459.84000000000003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</vt:lpstr>
      <vt:lpstr>02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2026-05-16T17:45:22Z</dcterms:modified>
</cp:coreProperties>
</file>