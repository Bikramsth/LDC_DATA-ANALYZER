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5" i="83" l="1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A88" i="83"/>
  <c r="AI88" i="83"/>
  <c r="AH88" i="83"/>
  <c r="BV87" i="83"/>
  <c r="BS87" i="83"/>
  <c r="BO87" i="83"/>
  <c r="BN87" i="83"/>
  <c r="BK87" i="83"/>
  <c r="BG87" i="83"/>
  <c r="AI87" i="83"/>
  <c r="AH87" i="83"/>
  <c r="BU86" i="83"/>
  <c r="BQ86" i="83"/>
  <c r="BP86" i="83"/>
  <c r="BM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AU22" i="83" l="1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<sst xmlns="http://schemas.openxmlformats.org/spreadsheetml/2006/main" count="3583" uniqueCount="435">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</sst>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7.61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B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9" sqref="L9:L1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C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68" sqref="L11:N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1876.7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688.00000000000011</v>
      </c>
      <c r="G78" s="70">
        <f t="shared" si="27"/>
        <v>688.00000000000011</v>
      </c>
      <c r="H78" s="70">
        <f t="shared" si="27"/>
        <v>683.40000000000009</v>
      </c>
      <c r="I78" s="70">
        <f t="shared" si="27"/>
        <v>683.40000000000009</v>
      </c>
      <c r="J78" s="70">
        <f t="shared" si="27"/>
        <v>683.40000000000009</v>
      </c>
      <c r="K78" s="70">
        <f t="shared" si="27"/>
        <v>683.50000000000011</v>
      </c>
      <c r="L78" s="70">
        <f t="shared" si="27"/>
        <v>683.50000000000011</v>
      </c>
      <c r="M78" s="70">
        <f t="shared" si="27"/>
        <v>683.50000000000011</v>
      </c>
      <c r="N78" s="70">
        <f t="shared" si="27"/>
        <v>683.50000000000011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88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-638.20000000000005</v>
      </c>
      <c r="BD79" s="81">
        <f t="shared" si="28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29">M97</f>
        <v>-518</v>
      </c>
      <c r="BH79" s="82">
        <f t="shared" si="29"/>
        <v>-485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67</v>
      </c>
      <c r="AI80" s="47">
        <f t="shared" si="24"/>
        <v>55.6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21.4</v>
      </c>
      <c r="BG80" s="82">
        <f t="shared" si="29"/>
        <v>22</v>
      </c>
      <c r="BH80" s="82">
        <f t="shared" si="29"/>
        <v>22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39.299999999999997</v>
      </c>
      <c r="BD81" s="81">
        <f t="shared" si="28"/>
        <v>39.1</v>
      </c>
      <c r="BE81" s="82">
        <f>I99</f>
        <v>33.4</v>
      </c>
      <c r="BF81" s="82">
        <f>K99</f>
        <v>33.200000000000003</v>
      </c>
      <c r="BG81" s="82">
        <f t="shared" si="29"/>
        <v>31</v>
      </c>
      <c r="BH81" s="82">
        <f t="shared" si="29"/>
        <v>31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46.5</v>
      </c>
      <c r="BF83" s="82">
        <f>K101</f>
        <v>52.7</v>
      </c>
      <c r="BG83" s="82">
        <f t="shared" si="29"/>
        <v>62</v>
      </c>
      <c r="BH83" s="82">
        <f t="shared" si="29"/>
        <v>63.5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1.9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-638.20000000000005</v>
      </c>
      <c r="BD86" s="82">
        <f t="shared" si="32"/>
        <v>-635.70000000000005</v>
      </c>
      <c r="BE86" s="82">
        <f t="shared" si="32"/>
        <v>-634.20000000000005</v>
      </c>
      <c r="BF86" s="82">
        <f t="shared" si="32"/>
        <v>-592</v>
      </c>
      <c r="BG86" s="82">
        <f t="shared" si="32"/>
        <v>-518</v>
      </c>
      <c r="BH86" s="82">
        <f t="shared" si="32"/>
        <v>-485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21.4</v>
      </c>
      <c r="BG87" s="82">
        <f t="shared" si="32"/>
        <v>22</v>
      </c>
      <c r="BH87" s="82">
        <f t="shared" si="32"/>
        <v>22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39.299999999999997</v>
      </c>
      <c r="BD88" s="82">
        <f t="shared" si="32"/>
        <v>39.1</v>
      </c>
      <c r="BE88" s="82">
        <f t="shared" si="32"/>
        <v>33.4</v>
      </c>
      <c r="BF88" s="82">
        <f t="shared" si="32"/>
        <v>33.200000000000003</v>
      </c>
      <c r="BG88" s="82">
        <f t="shared" si="32"/>
        <v>31</v>
      </c>
      <c r="BH88" s="82">
        <f t="shared" si="32"/>
        <v>31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46.5</v>
      </c>
      <c r="BF90" s="82">
        <f t="shared" si="32"/>
        <v>52.7</v>
      </c>
      <c r="BG90" s="82">
        <f t="shared" si="32"/>
        <v>62</v>
      </c>
      <c r="BH90" s="82">
        <f t="shared" si="32"/>
        <v>63.5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354.5</v>
      </c>
      <c r="G92" s="70">
        <f t="shared" si="34"/>
        <v>354.5</v>
      </c>
      <c r="H92" s="70">
        <f t="shared" si="34"/>
        <v>353.59999999999997</v>
      </c>
      <c r="I92" s="70">
        <f t="shared" si="34"/>
        <v>353.59999999999997</v>
      </c>
      <c r="J92" s="70">
        <f t="shared" si="34"/>
        <v>345.59999999999997</v>
      </c>
      <c r="K92" s="70">
        <f t="shared" si="34"/>
        <v>350.4</v>
      </c>
      <c r="L92" s="70">
        <f t="shared" si="34"/>
        <v>342.00000000000006</v>
      </c>
      <c r="M92" s="70">
        <f t="shared" si="34"/>
        <v>342.00000000000006</v>
      </c>
      <c r="N92" s="70">
        <f t="shared" si="34"/>
        <v>357.50000000000006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357.50000000000006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-485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22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30.9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63.5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60.5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96.4</v>
      </c>
      <c r="G108" s="70">
        <f t="shared" si="38"/>
        <v>94.6</v>
      </c>
      <c r="H108" s="70">
        <f t="shared" si="38"/>
        <v>90.8</v>
      </c>
      <c r="I108" s="70">
        <f t="shared" si="38"/>
        <v>130.4</v>
      </c>
      <c r="J108" s="70">
        <f t="shared" si="38"/>
        <v>138.19999999999999</v>
      </c>
      <c r="K108" s="70">
        <f t="shared" si="38"/>
        <v>151.4</v>
      </c>
      <c r="L108" s="70">
        <f t="shared" si="38"/>
        <v>153.9</v>
      </c>
      <c r="M108" s="70">
        <f t="shared" si="38"/>
        <v>156</v>
      </c>
      <c r="N108" s="70">
        <f t="shared" si="38"/>
        <v>177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177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2348.1</v>
      </c>
      <c r="G113" s="108">
        <f t="shared" si="40"/>
        <v>2340.2999999999997</v>
      </c>
      <c r="H113" s="108">
        <f t="shared" si="40"/>
        <v>2324.1</v>
      </c>
      <c r="I113" s="108">
        <f t="shared" si="40"/>
        <v>2345.2000000000003</v>
      </c>
      <c r="J113" s="108">
        <f t="shared" si="40"/>
        <v>2346.1</v>
      </c>
      <c r="K113" s="108">
        <f t="shared" si="40"/>
        <v>2379</v>
      </c>
      <c r="L113" s="108">
        <f t="shared" si="40"/>
        <v>2373.1</v>
      </c>
      <c r="M113" s="108">
        <f t="shared" si="40"/>
        <v>2325.1999999999998</v>
      </c>
      <c r="N113" s="108">
        <f t="shared" si="40"/>
        <v>2361.6999999999998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2379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2348.1</v>
      </c>
      <c r="G115" s="108">
        <f t="shared" si="42"/>
        <v>2340.2999999999997</v>
      </c>
      <c r="H115" s="108">
        <f t="shared" si="42"/>
        <v>2324.1</v>
      </c>
      <c r="I115" s="108">
        <f t="shared" si="42"/>
        <v>2345.2000000000003</v>
      </c>
      <c r="J115" s="108">
        <f t="shared" si="42"/>
        <v>2346.1</v>
      </c>
      <c r="K115" s="108">
        <f t="shared" si="42"/>
        <v>2379</v>
      </c>
      <c r="L115" s="108">
        <f t="shared" si="42"/>
        <v>2373.1</v>
      </c>
      <c r="M115" s="108">
        <f t="shared" si="42"/>
        <v>2325.1999999999998</v>
      </c>
      <c r="N115" s="108">
        <f t="shared" si="42"/>
        <v>2361.6999999999998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2379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1709.8999999999999</v>
      </c>
      <c r="G116" s="108">
        <f t="shared" si="44"/>
        <v>1704.5999999999997</v>
      </c>
      <c r="H116" s="108">
        <f t="shared" si="44"/>
        <v>1721.6999999999998</v>
      </c>
      <c r="I116" s="108">
        <f t="shared" si="44"/>
        <v>1711.0000000000002</v>
      </c>
      <c r="J116" s="108">
        <f t="shared" si="44"/>
        <v>1759.3999999999999</v>
      </c>
      <c r="K116" s="108">
        <f t="shared" si="44"/>
        <v>1787</v>
      </c>
      <c r="L116" s="108">
        <f t="shared" si="44"/>
        <v>1871.1</v>
      </c>
      <c r="M116" s="108">
        <f t="shared" si="44"/>
        <v>1807.1999999999998</v>
      </c>
      <c r="N116" s="108">
        <f t="shared" si="44"/>
        <v>1876.6999999999998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1876.6999999999998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638.20000000000005</v>
      </c>
      <c r="G117" s="93">
        <f t="shared" si="46"/>
        <v>635.70000000000005</v>
      </c>
      <c r="H117" s="93">
        <f t="shared" si="46"/>
        <v>602.4</v>
      </c>
      <c r="I117" s="93">
        <f t="shared" si="46"/>
        <v>634.20000000000005</v>
      </c>
      <c r="J117" s="93">
        <f t="shared" si="46"/>
        <v>586.70000000000005</v>
      </c>
      <c r="K117" s="93">
        <f t="shared" si="46"/>
        <v>592</v>
      </c>
      <c r="L117" s="93">
        <f t="shared" si="46"/>
        <v>502</v>
      </c>
      <c r="M117" s="93">
        <f t="shared" si="46"/>
        <v>518</v>
      </c>
      <c r="N117" s="93">
        <f t="shared" si="46"/>
        <v>485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638.20000000000005</v>
      </c>
      <c r="G123" s="70">
        <f t="shared" si="48"/>
        <v>635.70000000000005</v>
      </c>
      <c r="H123" s="70">
        <f t="shared" si="48"/>
        <v>602.4</v>
      </c>
      <c r="I123" s="70">
        <f t="shared" si="48"/>
        <v>634.20000000000005</v>
      </c>
      <c r="J123" s="70">
        <f t="shared" si="48"/>
        <v>586.70000000000005</v>
      </c>
      <c r="K123" s="70">
        <f t="shared" si="48"/>
        <v>592</v>
      </c>
      <c r="L123" s="70">
        <f t="shared" si="48"/>
        <v>502</v>
      </c>
      <c r="M123" s="70">
        <f t="shared" si="48"/>
        <v>518</v>
      </c>
      <c r="N123" s="70">
        <f t="shared" si="48"/>
        <v>485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485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-541.80000000000007</v>
      </c>
      <c r="G124" s="70">
        <f t="shared" si="50"/>
        <v>-541.1</v>
      </c>
      <c r="H124" s="70">
        <f t="shared" si="50"/>
        <v>-511.59999999999997</v>
      </c>
      <c r="I124" s="70">
        <f t="shared" si="50"/>
        <v>-503.80000000000007</v>
      </c>
      <c r="J124" s="70">
        <f t="shared" si="50"/>
        <v>-448.50000000000006</v>
      </c>
      <c r="K124" s="70">
        <f t="shared" si="50"/>
        <v>-440.6</v>
      </c>
      <c r="L124" s="70">
        <f t="shared" si="50"/>
        <v>-348.1</v>
      </c>
      <c r="M124" s="70">
        <f t="shared" si="50"/>
        <v>-362</v>
      </c>
      <c r="N124" s="70">
        <f t="shared" si="50"/>
        <v>-308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</v>
      </c>
      <c r="AI126" s="47">
        <f t="shared" si="24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132.1</v>
      </c>
      <c r="AI128" s="47">
        <f t="shared" si="24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134.19999999999999</v>
      </c>
      <c r="AI130" s="47">
        <f t="shared" si="24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136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170.83999999999995</v>
      </c>
      <c r="G135" s="114">
        <f t="shared" si="52"/>
        <v>179.73999999999995</v>
      </c>
      <c r="H135" s="114">
        <f t="shared" si="52"/>
        <v>182.04000000000002</v>
      </c>
      <c r="I135" s="114">
        <f t="shared" si="52"/>
        <v>252.74</v>
      </c>
      <c r="J135" s="114">
        <f t="shared" si="52"/>
        <v>253.74</v>
      </c>
      <c r="K135" s="114">
        <f t="shared" si="52"/>
        <v>292.44000000000005</v>
      </c>
      <c r="L135" s="114">
        <f t="shared" si="52"/>
        <v>309.64000000000004</v>
      </c>
      <c r="M135" s="114">
        <f t="shared" si="52"/>
        <v>328.04</v>
      </c>
      <c r="N135" s="114">
        <f t="shared" si="52"/>
        <v>342.04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342.04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67.099999999999994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34.200000000000003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11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61.5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</v>
      </c>
      <c r="AI145" s="47">
        <f>MIN(B145:AF145)</f>
        <v>-22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-299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76.7</v>
      </c>
      <c r="AI147" s="47">
        <f t="shared" si="56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16.3</v>
      </c>
      <c r="AI148" s="47">
        <f t="shared" si="56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242.4</v>
      </c>
      <c r="AI149" s="47">
        <f t="shared" si="56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30.8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12.1</v>
      </c>
      <c r="AI151" s="47">
        <f t="shared" si="56"/>
        <v>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O11:AA13 AB12:AF13 K85:AF90 B9:AF10 C117:AF125 B113:B115 C109:AF115 B108:AF108 B117:B124 C152:AF152 C154:AF159 B153:AF153 B93:AF96 C134:AF134 M126:AF133 M137:AF151 B76:E90 C97:AF107 F79:N90 F76:AF77 B72:N72">
    <cfRule type="expression" dxfId="172" priority="106">
      <formula>B$9&gt;=20/24</formula>
    </cfRule>
  </conditionalFormatting>
  <conditionalFormatting sqref="B9:AF10 O11:AA13 AB12:AF13 K85:AF90 C117:AF125 B113:B115 C109:AF115 B108:AF108 B117:B124 C152:AF152 C154:AF159 B153:AF153 B93:AF96 C134:AF134 M126:AF133 M137:AF151 B76:E90 C97:AF107 F79:N90 F76:AF77 B72:N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O14:AF53 B29:N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O11:AA13 AB12:AF13 AF92:AF95 AF96:AG96 B71:AG71 B91:AF91 B92:AE96 F78:AG78 B76:E90 B69:AA69 F79:AC90 F76:AF77">
    <cfRule type="expression" dxfId="144" priority="105">
      <formula>B11&gt;$AG11*1</formula>
    </cfRule>
  </conditionalFormatting>
  <conditionalFormatting sqref="K83:O83 F79:N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O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O73:AF75">
    <cfRule type="expression" dxfId="131" priority="35">
      <formula>O$9&gt;=20/24</formula>
    </cfRule>
    <cfRule type="expression" dxfId="130" priority="36">
      <formula>AND(O$9&gt;=14/24,O$9&lt;20/24)</formula>
    </cfRule>
    <cfRule type="expression" dxfId="129" priority="37">
      <formula>AND(O$9&gt;=8/24,O$9&lt;14/24)</formula>
    </cfRule>
    <cfRule type="expression" dxfId="128" priority="38">
      <formula>O$9&lt;8/24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N13">
    <cfRule type="expression" dxfId="22" priority="20">
      <formula>B$9&gt;=20/24</formula>
    </cfRule>
  </conditionalFormatting>
  <conditionalFormatting sqref="B97:B107 B137:B152 B109:B112 B125:B134 B154:B159 C126:L133 C137:L151 B11:N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N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N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2026-05-22T03:38:28Z</dcterms:modified>
</cp:coreProperties>
</file>