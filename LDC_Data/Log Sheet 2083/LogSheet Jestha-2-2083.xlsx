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70" i="77" l="1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B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B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B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B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B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B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B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B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B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B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B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B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B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B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T206" i="77" s="1"/>
  <c r="U206" i="77" s="1"/>
  <c r="V206" i="77" s="1"/>
  <c r="W206" i="77" s="1"/>
  <c r="X206" i="77" s="1"/>
  <c r="Y206" i="77" s="1"/>
  <c r="Z206" i="77" s="1"/>
  <c r="AA206" i="77" s="1"/>
  <c r="AB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T205" i="77" s="1"/>
  <c r="U205" i="77" s="1"/>
  <c r="V205" i="77" s="1"/>
  <c r="W205" i="77" s="1"/>
  <c r="X205" i="77" s="1"/>
  <c r="Y205" i="77" s="1"/>
  <c r="Z205" i="77" s="1"/>
  <c r="AA205" i="77" s="1"/>
  <c r="AB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T203" i="77" s="1"/>
  <c r="U203" i="77" s="1"/>
  <c r="V203" i="77" s="1"/>
  <c r="W203" i="77" s="1"/>
  <c r="X203" i="77" s="1"/>
  <c r="Y203" i="77" s="1"/>
  <c r="Z203" i="77" s="1"/>
  <c r="AA203" i="77" s="1"/>
  <c r="AB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T198" i="77" s="1"/>
  <c r="U198" i="77" s="1"/>
  <c r="V198" i="77" s="1"/>
  <c r="W198" i="77" s="1"/>
  <c r="X198" i="77" s="1"/>
  <c r="Y198" i="77" s="1"/>
  <c r="Z198" i="77" s="1"/>
  <c r="AA198" i="77" s="1"/>
  <c r="AB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T197" i="77" s="1"/>
  <c r="U197" i="77" s="1"/>
  <c r="V197" i="77" s="1"/>
  <c r="W197" i="77" s="1"/>
  <c r="X197" i="77" s="1"/>
  <c r="Y197" i="77" s="1"/>
  <c r="Z197" i="77" s="1"/>
  <c r="AA197" i="77" s="1"/>
  <c r="AB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T189" i="77" s="1"/>
  <c r="U189" i="77" s="1"/>
  <c r="V189" i="77" s="1"/>
  <c r="W189" i="77" s="1"/>
  <c r="X189" i="77" s="1"/>
  <c r="Y189" i="77" s="1"/>
  <c r="Z189" i="77" s="1"/>
  <c r="AA189" i="77" s="1"/>
  <c r="AB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T181" i="77" s="1"/>
  <c r="U181" i="77" s="1"/>
  <c r="V181" i="77" s="1"/>
  <c r="W181" i="77" s="1"/>
  <c r="X181" i="77" s="1"/>
  <c r="Y181" i="77" s="1"/>
  <c r="Z181" i="77" s="1"/>
  <c r="AA181" i="77" s="1"/>
  <c r="AB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T179" i="77" s="1"/>
  <c r="U179" i="77" s="1"/>
  <c r="V179" i="77" s="1"/>
  <c r="W179" i="77" s="1"/>
  <c r="X179" i="77" s="1"/>
  <c r="Y179" i="77" s="1"/>
  <c r="Z179" i="77" s="1"/>
  <c r="AA179" i="77" s="1"/>
  <c r="AB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T174" i="77" s="1"/>
  <c r="U174" i="77" s="1"/>
  <c r="V174" i="77" s="1"/>
  <c r="W174" i="77" s="1"/>
  <c r="X174" i="77" s="1"/>
  <c r="Y174" i="77" s="1"/>
  <c r="Z174" i="77" s="1"/>
  <c r="AA174" i="77" s="1"/>
  <c r="AB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T173" i="77" s="1"/>
  <c r="U173" i="77" s="1"/>
  <c r="V173" i="77" s="1"/>
  <c r="W173" i="77" s="1"/>
  <c r="X173" i="77" s="1"/>
  <c r="Y173" i="77" s="1"/>
  <c r="Z173" i="77" s="1"/>
  <c r="AA173" i="77" s="1"/>
  <c r="AB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S164" i="77" s="1"/>
  <c r="T164" i="77" s="1"/>
  <c r="U164" i="77" s="1"/>
  <c r="V164" i="77" s="1"/>
  <c r="W164" i="77" s="1"/>
  <c r="X164" i="77" s="1"/>
  <c r="Y164" i="77" s="1"/>
  <c r="Z164" i="77" s="1"/>
  <c r="AA164" i="77" s="1"/>
  <c r="AB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B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B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B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B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B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B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B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B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B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B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B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B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B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B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B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B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B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B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B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B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B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B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B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B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B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B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B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B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B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B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B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B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B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B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B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B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B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B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B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B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B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B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B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B217" i="77" s="1"/>
  <c r="AC217" i="77" s="1"/>
  <c r="AD217" i="77" s="1"/>
  <c r="AE217" i="77" s="1"/>
  <c r="AF217" i="77" s="1"/>
  <c r="X216" i="77"/>
  <c r="Y216" i="77" s="1"/>
  <c r="Z216" i="77" s="1"/>
  <c r="AA216" i="77" s="1"/>
  <c r="AB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B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B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B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B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B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B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B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B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T204" i="77" s="1"/>
  <c r="U204" i="77" s="1"/>
  <c r="V204" i="77" s="1"/>
  <c r="W204" i="77" s="1"/>
  <c r="X204" i="77" s="1"/>
  <c r="Y204" i="77" s="1"/>
  <c r="Z204" i="77" s="1"/>
  <c r="AA204" i="77" s="1"/>
  <c r="AB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T202" i="77" s="1"/>
  <c r="U202" i="77" s="1"/>
  <c r="V202" i="77" s="1"/>
  <c r="W202" i="77" s="1"/>
  <c r="X202" i="77" s="1"/>
  <c r="Y202" i="77" s="1"/>
  <c r="Z202" i="77" s="1"/>
  <c r="AA202" i="77" s="1"/>
  <c r="AB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T201" i="77" s="1"/>
  <c r="U201" i="77" s="1"/>
  <c r="V201" i="77" s="1"/>
  <c r="W201" i="77" s="1"/>
  <c r="X201" i="77" s="1"/>
  <c r="Y201" i="77" s="1"/>
  <c r="Z201" i="77" s="1"/>
  <c r="AA201" i="77" s="1"/>
  <c r="AB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T200" i="77" s="1"/>
  <c r="U200" i="77" s="1"/>
  <c r="V200" i="77" s="1"/>
  <c r="W200" i="77" s="1"/>
  <c r="X200" i="77" s="1"/>
  <c r="Y200" i="77" s="1"/>
  <c r="Z200" i="77" s="1"/>
  <c r="AA200" i="77" s="1"/>
  <c r="AB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T199" i="77" s="1"/>
  <c r="U199" i="77" s="1"/>
  <c r="V199" i="77" s="1"/>
  <c r="W199" i="77" s="1"/>
  <c r="X199" i="77" s="1"/>
  <c r="Y199" i="77" s="1"/>
  <c r="Z199" i="77" s="1"/>
  <c r="AA199" i="77" s="1"/>
  <c r="AB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T196" i="77" s="1"/>
  <c r="U196" i="77" s="1"/>
  <c r="V196" i="77" s="1"/>
  <c r="W196" i="77" s="1"/>
  <c r="X196" i="77" s="1"/>
  <c r="Y196" i="77" s="1"/>
  <c r="Z196" i="77" s="1"/>
  <c r="AA196" i="77" s="1"/>
  <c r="AB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T195" i="77" s="1"/>
  <c r="U195" i="77" s="1"/>
  <c r="V195" i="77" s="1"/>
  <c r="W195" i="77" s="1"/>
  <c r="X195" i="77" s="1"/>
  <c r="Y195" i="77" s="1"/>
  <c r="Z195" i="77" s="1"/>
  <c r="AA195" i="77" s="1"/>
  <c r="AB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T194" i="77" s="1"/>
  <c r="U194" i="77" s="1"/>
  <c r="V194" i="77" s="1"/>
  <c r="W194" i="77" s="1"/>
  <c r="X194" i="77" s="1"/>
  <c r="Y194" i="77" s="1"/>
  <c r="Z194" i="77" s="1"/>
  <c r="AA194" i="77" s="1"/>
  <c r="AB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T193" i="77" s="1"/>
  <c r="U193" i="77" s="1"/>
  <c r="V193" i="77" s="1"/>
  <c r="W193" i="77" s="1"/>
  <c r="X193" i="77" s="1"/>
  <c r="Y193" i="77" s="1"/>
  <c r="Z193" i="77" s="1"/>
  <c r="AA193" i="77" s="1"/>
  <c r="AB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T192" i="77" s="1"/>
  <c r="U192" i="77" s="1"/>
  <c r="V192" i="77" s="1"/>
  <c r="W192" i="77" s="1"/>
  <c r="X192" i="77" s="1"/>
  <c r="Y192" i="77" s="1"/>
  <c r="Z192" i="77" s="1"/>
  <c r="AA192" i="77" s="1"/>
  <c r="AB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T191" i="77" s="1"/>
  <c r="U191" i="77" s="1"/>
  <c r="V191" i="77" s="1"/>
  <c r="W191" i="77" s="1"/>
  <c r="X191" i="77" s="1"/>
  <c r="Y191" i="77" s="1"/>
  <c r="Z191" i="77" s="1"/>
  <c r="AA191" i="77" s="1"/>
  <c r="AB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T190" i="77" s="1"/>
  <c r="U190" i="77" s="1"/>
  <c r="V190" i="77" s="1"/>
  <c r="W190" i="77" s="1"/>
  <c r="X190" i="77" s="1"/>
  <c r="Y190" i="77" s="1"/>
  <c r="Z190" i="77" s="1"/>
  <c r="AA190" i="77" s="1"/>
  <c r="AB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T188" i="77" s="1"/>
  <c r="U188" i="77" s="1"/>
  <c r="V188" i="77" s="1"/>
  <c r="W188" i="77" s="1"/>
  <c r="X188" i="77" s="1"/>
  <c r="Y188" i="77" s="1"/>
  <c r="Z188" i="77" s="1"/>
  <c r="AA188" i="77" s="1"/>
  <c r="AB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T187" i="77" s="1"/>
  <c r="U187" i="77" s="1"/>
  <c r="V187" i="77" s="1"/>
  <c r="W187" i="77" s="1"/>
  <c r="X187" i="77" s="1"/>
  <c r="Y187" i="77" s="1"/>
  <c r="Z187" i="77" s="1"/>
  <c r="AA187" i="77" s="1"/>
  <c r="AB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T186" i="77" s="1"/>
  <c r="U186" i="77" s="1"/>
  <c r="V186" i="77" s="1"/>
  <c r="W186" i="77" s="1"/>
  <c r="X186" i="77" s="1"/>
  <c r="Y186" i="77" s="1"/>
  <c r="Z186" i="77" s="1"/>
  <c r="AA186" i="77" s="1"/>
  <c r="AB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T185" i="77" s="1"/>
  <c r="U185" i="77" s="1"/>
  <c r="V185" i="77" s="1"/>
  <c r="W185" i="77" s="1"/>
  <c r="X185" i="77" s="1"/>
  <c r="Y185" i="77" s="1"/>
  <c r="Z185" i="77" s="1"/>
  <c r="AA185" i="77" s="1"/>
  <c r="AB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T184" i="77" s="1"/>
  <c r="U184" i="77" s="1"/>
  <c r="V184" i="77" s="1"/>
  <c r="W184" i="77" s="1"/>
  <c r="X184" i="77" s="1"/>
  <c r="Y184" i="77" s="1"/>
  <c r="Z184" i="77" s="1"/>
  <c r="AA184" i="77" s="1"/>
  <c r="AB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T182" i="77" s="1"/>
  <c r="U182" i="77" s="1"/>
  <c r="V182" i="77" s="1"/>
  <c r="W182" i="77" s="1"/>
  <c r="X182" i="77" s="1"/>
  <c r="Y182" i="77" s="1"/>
  <c r="Z182" i="77" s="1"/>
  <c r="AA182" i="77" s="1"/>
  <c r="AB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T180" i="77" s="1"/>
  <c r="U180" i="77" s="1"/>
  <c r="V180" i="77" s="1"/>
  <c r="W180" i="77" s="1"/>
  <c r="X180" i="77" s="1"/>
  <c r="Y180" i="77" s="1"/>
  <c r="Z180" i="77" s="1"/>
  <c r="AA180" i="77" s="1"/>
  <c r="AB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T178" i="77" s="1"/>
  <c r="U178" i="77" s="1"/>
  <c r="V178" i="77" s="1"/>
  <c r="W178" i="77" s="1"/>
  <c r="X178" i="77" s="1"/>
  <c r="Y178" i="77" s="1"/>
  <c r="Z178" i="77" s="1"/>
  <c r="AA178" i="77" s="1"/>
  <c r="AB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T176" i="77" s="1"/>
  <c r="U176" i="77" s="1"/>
  <c r="V176" i="77" s="1"/>
  <c r="W176" i="77" s="1"/>
  <c r="X176" i="77" s="1"/>
  <c r="Y176" i="77" s="1"/>
  <c r="Z176" i="77" s="1"/>
  <c r="AA176" i="77" s="1"/>
  <c r="AB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T175" i="77" s="1"/>
  <c r="U175" i="77" s="1"/>
  <c r="V175" i="77" s="1"/>
  <c r="W175" i="77" s="1"/>
  <c r="X175" i="77" s="1"/>
  <c r="Y175" i="77" s="1"/>
  <c r="Z175" i="77" s="1"/>
  <c r="AA175" i="77" s="1"/>
  <c r="AB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T172" i="77" s="1"/>
  <c r="U172" i="77" s="1"/>
  <c r="V172" i="77" s="1"/>
  <c r="W172" i="77" s="1"/>
  <c r="X172" i="77" s="1"/>
  <c r="Y172" i="77" s="1"/>
  <c r="Z172" i="77" s="1"/>
  <c r="AA172" i="77" s="1"/>
  <c r="AB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T171" i="77" s="1"/>
  <c r="U171" i="77" s="1"/>
  <c r="V171" i="77" s="1"/>
  <c r="W171" i="77" s="1"/>
  <c r="X171" i="77" s="1"/>
  <c r="Y171" i="77" s="1"/>
  <c r="Z171" i="77" s="1"/>
  <c r="AA171" i="77" s="1"/>
  <c r="AB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T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S166" i="77" s="1"/>
  <c r="T166" i="77" s="1"/>
  <c r="U166" i="77" s="1"/>
  <c r="V166" i="77" s="1"/>
  <c r="W166" i="77" s="1"/>
  <c r="X166" i="77" s="1"/>
  <c r="Y166" i="77" s="1"/>
  <c r="Z166" i="77" s="1"/>
  <c r="AA166" i="77" s="1"/>
  <c r="AB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S165" i="77" s="1"/>
  <c r="T165" i="77" s="1"/>
  <c r="U165" i="77" s="1"/>
  <c r="V165" i="77" s="1"/>
  <c r="W165" i="77" s="1"/>
  <c r="X165" i="77" s="1"/>
  <c r="Y165" i="77" s="1"/>
  <c r="Z165" i="77" s="1"/>
  <c r="AA165" i="77" s="1"/>
  <c r="AB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S163" i="77" s="1"/>
  <c r="T163" i="77" s="1"/>
  <c r="U163" i="77" s="1"/>
  <c r="V163" i="77" s="1"/>
  <c r="W163" i="77" s="1"/>
  <c r="X163" i="77" s="1"/>
  <c r="Y163" i="77" s="1"/>
  <c r="Z163" i="77" s="1"/>
  <c r="AA163" i="77" s="1"/>
  <c r="AB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S162" i="77" s="1"/>
  <c r="T162" i="77" s="1"/>
  <c r="U162" i="77" s="1"/>
  <c r="V162" i="77" s="1"/>
  <c r="W162" i="77" s="1"/>
  <c r="X162" i="77" s="1"/>
  <c r="Y162" i="77" s="1"/>
  <c r="Z162" i="77" s="1"/>
  <c r="AA162" i="77" s="1"/>
  <c r="AB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W123" i="77"/>
  <c r="O123" i="77"/>
  <c r="AW23" i="77" s="1"/>
  <c r="AF122" i="77"/>
  <c r="AE122" i="77"/>
  <c r="AD122" i="77"/>
  <c r="AC122" i="77"/>
  <c r="AB122" i="77"/>
  <c r="AA122" i="77"/>
  <c r="Z122" i="77"/>
  <c r="Y122" i="77"/>
  <c r="X122" i="77"/>
  <c r="W122" i="77"/>
  <c r="V122" i="77"/>
  <c r="U122" i="77"/>
  <c r="T122" i="77"/>
  <c r="S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B121" i="77"/>
  <c r="AA121" i="77"/>
  <c r="Z121" i="77"/>
  <c r="Y121" i="77"/>
  <c r="X121" i="77"/>
  <c r="X123" i="77" s="1"/>
  <c r="BE23" i="77" s="1"/>
  <c r="W121" i="77"/>
  <c r="V121" i="77"/>
  <c r="U121" i="77"/>
  <c r="T121" i="77"/>
  <c r="S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B120" i="77"/>
  <c r="AA120" i="77"/>
  <c r="Z120" i="77"/>
  <c r="Y120" i="77"/>
  <c r="X120" i="77"/>
  <c r="W120" i="77"/>
  <c r="V120" i="77"/>
  <c r="U120" i="77"/>
  <c r="T120" i="77"/>
  <c r="S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B119" i="77"/>
  <c r="AA119" i="77"/>
  <c r="Z119" i="77"/>
  <c r="Y119" i="77"/>
  <c r="X119" i="77"/>
  <c r="W119" i="77"/>
  <c r="V119" i="77"/>
  <c r="V123" i="77" s="1"/>
  <c r="BD23" i="77" s="1"/>
  <c r="U119" i="77"/>
  <c r="T119" i="77"/>
  <c r="S119" i="77"/>
  <c r="R119" i="77"/>
  <c r="Q119" i="77"/>
  <c r="P119" i="77"/>
  <c r="O119" i="77"/>
  <c r="N119" i="77"/>
  <c r="N123" i="77" s="1"/>
  <c r="AV23" i="77" s="1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B118" i="77"/>
  <c r="AA118" i="77"/>
  <c r="Z118" i="77"/>
  <c r="Y118" i="77"/>
  <c r="X118" i="77"/>
  <c r="W118" i="77"/>
  <c r="V118" i="77"/>
  <c r="U118" i="77"/>
  <c r="T118" i="77"/>
  <c r="S118" i="77"/>
  <c r="S123" i="77" s="1"/>
  <c r="BA23" i="77" s="1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AC124" i="77" s="1"/>
  <c r="AB117" i="77"/>
  <c r="AB123" i="77" s="1"/>
  <c r="BG23" i="77" s="1"/>
  <c r="AA117" i="77"/>
  <c r="Z117" i="77"/>
  <c r="Y117" i="77"/>
  <c r="X117" i="77"/>
  <c r="W117" i="77"/>
  <c r="V117" i="77"/>
  <c r="U117" i="77"/>
  <c r="U123" i="77" s="1"/>
  <c r="BC23" i="77" s="1"/>
  <c r="T117" i="77"/>
  <c r="S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E113" i="77"/>
  <c r="AE115" i="77" s="1"/>
  <c r="AE116" i="77" s="1"/>
  <c r="AE7" i="77" s="1"/>
  <c r="Z113" i="77"/>
  <c r="Z115" i="77" s="1"/>
  <c r="O113" i="77"/>
  <c r="O115" i="77" s="1"/>
  <c r="O116" i="77" s="1"/>
  <c r="O7" i="77" s="1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B108" i="77"/>
  <c r="AA108" i="77"/>
  <c r="Z108" i="77"/>
  <c r="Y108" i="77"/>
  <c r="X108" i="77"/>
  <c r="W108" i="77"/>
  <c r="V108" i="77"/>
  <c r="U108" i="77"/>
  <c r="T108" i="77"/>
  <c r="S5" i="77" s="1"/>
  <c r="S108" i="77"/>
  <c r="R108" i="77"/>
  <c r="Q108" i="77"/>
  <c r="P108" i="77"/>
  <c r="O108" i="77"/>
  <c r="N108" i="77"/>
  <c r="M108" i="77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AB96" i="77"/>
  <c r="BG20" i="77" s="1"/>
  <c r="AA96" i="77"/>
  <c r="Z96" i="77"/>
  <c r="Y96" i="77"/>
  <c r="X96" i="77"/>
  <c r="W96" i="77"/>
  <c r="V96" i="77"/>
  <c r="U96" i="77"/>
  <c r="T96" i="77"/>
  <c r="T113" i="77" s="1"/>
  <c r="T115" i="77" s="1"/>
  <c r="S96" i="77"/>
  <c r="R96" i="77"/>
  <c r="Q96" i="77"/>
  <c r="AY20" i="77" s="1"/>
  <c r="P96" i="77"/>
  <c r="AX20" i="77" s="1"/>
  <c r="O96" i="77"/>
  <c r="AW20" i="77" s="1"/>
  <c r="N96" i="77"/>
  <c r="M96" i="77"/>
  <c r="L96" i="77"/>
  <c r="K96" i="77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AB92" i="77"/>
  <c r="BG18" i="77" s="1"/>
  <c r="AA92" i="77"/>
  <c r="Z92" i="77"/>
  <c r="Y92" i="77"/>
  <c r="X92" i="77"/>
  <c r="W92" i="77"/>
  <c r="V92" i="77"/>
  <c r="U92" i="77"/>
  <c r="BC18" i="77" s="1"/>
  <c r="T92" i="77"/>
  <c r="S92" i="77"/>
  <c r="R92" i="77"/>
  <c r="AZ18" i="77" s="1"/>
  <c r="Q92" i="77"/>
  <c r="AY18" i="77" s="1"/>
  <c r="P92" i="77"/>
  <c r="O92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S91" i="77"/>
  <c r="BP91" i="77"/>
  <c r="BN91" i="77"/>
  <c r="BK91" i="77"/>
  <c r="BH91" i="77"/>
  <c r="BG91" i="77"/>
  <c r="BC91" i="77"/>
  <c r="AI91" i="77"/>
  <c r="AH91" i="77"/>
  <c r="BV90" i="77"/>
  <c r="BU90" i="77"/>
  <c r="BS90" i="77"/>
  <c r="BR90" i="77"/>
  <c r="BN90" i="77"/>
  <c r="BM90" i="77"/>
  <c r="BK90" i="77"/>
  <c r="BJ90" i="77"/>
  <c r="BI90" i="77"/>
  <c r="BF90" i="77"/>
  <c r="BC90" i="77"/>
  <c r="AI90" i="77"/>
  <c r="AH90" i="77"/>
  <c r="BU89" i="77"/>
  <c r="BT89" i="77"/>
  <c r="BP89" i="77"/>
  <c r="BO89" i="77"/>
  <c r="BM89" i="77"/>
  <c r="BL89" i="77"/>
  <c r="BK89" i="77"/>
  <c r="BH89" i="77"/>
  <c r="BG89" i="77"/>
  <c r="BD89" i="77"/>
  <c r="AI89" i="77"/>
  <c r="AH89" i="77"/>
  <c r="BW88" i="77"/>
  <c r="BV88" i="77"/>
  <c r="BR88" i="77"/>
  <c r="BQ88" i="77"/>
  <c r="BO88" i="77"/>
  <c r="BN88" i="77"/>
  <c r="BM88" i="77"/>
  <c r="BJ88" i="77"/>
  <c r="BI88" i="77"/>
  <c r="BG88" i="77"/>
  <c r="BF88" i="77"/>
  <c r="AI88" i="77"/>
  <c r="AH88" i="77"/>
  <c r="BT87" i="77"/>
  <c r="BS87" i="77"/>
  <c r="BQ87" i="77"/>
  <c r="BP87" i="77"/>
  <c r="BL87" i="77"/>
  <c r="BK87" i="77"/>
  <c r="BI87" i="77"/>
  <c r="BH87" i="77"/>
  <c r="BG87" i="77"/>
  <c r="BD87" i="77"/>
  <c r="BA87" i="77"/>
  <c r="AZ87" i="77"/>
  <c r="AI87" i="77"/>
  <c r="AH87" i="77"/>
  <c r="BV86" i="77"/>
  <c r="BU86" i="77"/>
  <c r="BS86" i="77"/>
  <c r="BR86" i="77"/>
  <c r="BN86" i="77"/>
  <c r="BM86" i="77"/>
  <c r="BK86" i="77"/>
  <c r="BJ86" i="77"/>
  <c r="BI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R84" i="77"/>
  <c r="BR91" i="77" s="1"/>
  <c r="BQ84" i="77"/>
  <c r="BQ91" i="77" s="1"/>
  <c r="BP84" i="77"/>
  <c r="BO84" i="77"/>
  <c r="BO91" i="77" s="1"/>
  <c r="BN84" i="77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R83" i="77"/>
  <c r="BQ83" i="77"/>
  <c r="BQ90" i="77" s="1"/>
  <c r="BP83" i="77"/>
  <c r="BP90" i="77" s="1"/>
  <c r="BO83" i="77"/>
  <c r="BO90" i="77" s="1"/>
  <c r="BN83" i="77"/>
  <c r="BM83" i="77"/>
  <c r="BL83" i="77"/>
  <c r="BL90" i="77" s="1"/>
  <c r="BK83" i="77"/>
  <c r="BJ83" i="77"/>
  <c r="BI83" i="77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O82" i="77"/>
  <c r="BN82" i="77"/>
  <c r="BN89" i="77" s="1"/>
  <c r="BM82" i="77"/>
  <c r="BL82" i="77"/>
  <c r="BK82" i="77"/>
  <c r="BJ82" i="77"/>
  <c r="BJ89" i="77" s="1"/>
  <c r="BI82" i="77"/>
  <c r="BI89" i="77" s="1"/>
  <c r="BH82" i="77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Q81" i="77"/>
  <c r="BP81" i="77"/>
  <c r="BP88" i="77" s="1"/>
  <c r="BO81" i="77"/>
  <c r="BN81" i="77"/>
  <c r="BM81" i="77"/>
  <c r="BL81" i="77"/>
  <c r="BL88" i="77" s="1"/>
  <c r="BK81" i="77"/>
  <c r="BK88" i="77" s="1"/>
  <c r="BJ81" i="77"/>
  <c r="BI81" i="77"/>
  <c r="BH81" i="77"/>
  <c r="BH88" i="77" s="1"/>
  <c r="BG81" i="77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R80" i="77"/>
  <c r="BR87" i="77" s="1"/>
  <c r="BQ80" i="77"/>
  <c r="BP80" i="77"/>
  <c r="BO80" i="77"/>
  <c r="BO87" i="77" s="1"/>
  <c r="BN80" i="77"/>
  <c r="BN87" i="77" s="1"/>
  <c r="BM80" i="77"/>
  <c r="BM87" i="77" s="1"/>
  <c r="BL80" i="77"/>
  <c r="BK80" i="77"/>
  <c r="BJ80" i="77"/>
  <c r="BJ87" i="77" s="1"/>
  <c r="BI80" i="77"/>
  <c r="BH80" i="77"/>
  <c r="BG80" i="77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R79" i="77"/>
  <c r="BQ79" i="77"/>
  <c r="BQ86" i="77" s="1"/>
  <c r="BP79" i="77"/>
  <c r="BP86" i="77" s="1"/>
  <c r="BO79" i="77"/>
  <c r="BO86" i="77" s="1"/>
  <c r="BN79" i="77"/>
  <c r="BM79" i="77"/>
  <c r="BL79" i="77"/>
  <c r="BL86" i="77" s="1"/>
  <c r="BK79" i="77"/>
  <c r="BJ79" i="77"/>
  <c r="BI79" i="77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AB78" i="77"/>
  <c r="AA78" i="77"/>
  <c r="Z78" i="77"/>
  <c r="Y78" i="77"/>
  <c r="X78" i="77"/>
  <c r="W78" i="77"/>
  <c r="W113" i="77" s="1"/>
  <c r="W115" i="77" s="1"/>
  <c r="W116" i="77" s="1"/>
  <c r="W7" i="77" s="1"/>
  <c r="V78" i="77"/>
  <c r="BD17" i="77" s="1"/>
  <c r="BD22" i="77" s="1"/>
  <c r="BD25" i="77" s="1"/>
  <c r="U78" i="77"/>
  <c r="BC17" i="77" s="1"/>
  <c r="T78" i="77"/>
  <c r="S78" i="77"/>
  <c r="R78" i="77"/>
  <c r="Q78" i="77"/>
  <c r="P78" i="77"/>
  <c r="O78" i="77"/>
  <c r="AW17" i="77" s="1"/>
  <c r="N78" i="77"/>
  <c r="AV17" i="77" s="1"/>
  <c r="AV22" i="77" s="1"/>
  <c r="AV25" i="77" s="1"/>
  <c r="M78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D71" i="77"/>
  <c r="AC71" i="77"/>
  <c r="AC113" i="77" s="1"/>
  <c r="AC115" i="77" s="1"/>
  <c r="AC116" i="77" s="1"/>
  <c r="AC7" i="77" s="1"/>
  <c r="AB71" i="77"/>
  <c r="BG16" i="77" s="1"/>
  <c r="AA71" i="77"/>
  <c r="AA113" i="77" s="1"/>
  <c r="AA115" i="77" s="1"/>
  <c r="Z71" i="77"/>
  <c r="BF16" i="77" s="1"/>
  <c r="Y71" i="77"/>
  <c r="X71" i="77"/>
  <c r="X113" i="77" s="1"/>
  <c r="X115" i="77" s="1"/>
  <c r="X116" i="77" s="1"/>
  <c r="X7" i="77" s="1"/>
  <c r="W71" i="77"/>
  <c r="V71" i="77"/>
  <c r="U71" i="77"/>
  <c r="T71" i="77"/>
  <c r="S71" i="77"/>
  <c r="S113" i="77" s="1"/>
  <c r="S115" i="77" s="1"/>
  <c r="S116" i="77" s="1"/>
  <c r="S7" i="77" s="1"/>
  <c r="R71" i="77"/>
  <c r="Q71" i="77"/>
  <c r="P71" i="77"/>
  <c r="O71" i="77"/>
  <c r="N71" i="77"/>
  <c r="M71" i="77"/>
  <c r="L71" i="77"/>
  <c r="L113" i="77" s="1"/>
  <c r="L115" i="77" s="1"/>
  <c r="K71" i="77"/>
  <c r="AT16" i="77" s="1"/>
  <c r="AT22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BF22" i="77"/>
  <c r="BA22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T20" i="77"/>
  <c r="AS20" i="77"/>
  <c r="AN20" i="77"/>
  <c r="AM20" i="77"/>
  <c r="AI20" i="77"/>
  <c r="AH20" i="77"/>
  <c r="BH19" i="77"/>
  <c r="BG19" i="77"/>
  <c r="BF19" i="77"/>
  <c r="BD19" i="77"/>
  <c r="BC19" i="77"/>
  <c r="BA19" i="77"/>
  <c r="AZ19" i="77"/>
  <c r="AY19" i="77"/>
  <c r="AV19" i="77"/>
  <c r="AU19" i="77"/>
  <c r="AT19" i="77"/>
  <c r="AQ19" i="77"/>
  <c r="AP19" i="77"/>
  <c r="AI19" i="77"/>
  <c r="AH19" i="77"/>
  <c r="BI18" i="77"/>
  <c r="BH18" i="77"/>
  <c r="BF18" i="77"/>
  <c r="BE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E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Z22" i="77" s="1"/>
  <c r="AY16" i="77"/>
  <c r="AW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T5" i="77"/>
  <c r="R5" i="77"/>
  <c r="Q5" i="77"/>
  <c r="P5" i="77"/>
  <c r="M5" i="77"/>
  <c r="L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I120" i="77" l="1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Z25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N116" i="77" s="1"/>
  <c r="N7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113" i="77"/>
  <c r="AB115" i="77" s="1"/>
  <c r="AB116" i="77" s="1"/>
  <c r="AB7" i="77" s="1"/>
  <c r="AN23" i="77"/>
  <c r="AN25" i="77" s="1"/>
  <c r="K123" i="77"/>
  <c r="AA123" i="77"/>
  <c r="AA116" i="77" s="1"/>
  <c r="AA7" i="77" s="1"/>
  <c r="AI121" i="77"/>
  <c r="AI122" i="77"/>
  <c r="X124" i="77"/>
  <c r="BG95" i="77" a="1"/>
  <c r="S124" i="77"/>
  <c r="AA124" i="77"/>
  <c r="D123" i="77"/>
  <c r="AO23" i="77" s="1"/>
  <c r="L123" i="77"/>
  <c r="L116" i="77" s="1"/>
  <c r="L7" i="77" s="1"/>
  <c r="T123" i="77"/>
  <c r="BB23" i="77" s="1"/>
  <c r="G124" i="77"/>
  <c r="AM18" i="77"/>
  <c r="AI92" i="77"/>
  <c r="L124" i="77"/>
  <c r="K5" i="77"/>
  <c r="AB124" i="77"/>
  <c r="AA5" i="77"/>
  <c r="R113" i="77"/>
  <c r="R115" i="77" s="1"/>
  <c r="R116" i="77" s="1"/>
  <c r="R7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E22" i="77" s="1"/>
  <c r="BE25" i="77" s="1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N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J124" i="77" l="1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T124" i="77"/>
  <c r="AA170" i="77"/>
  <c r="AB170" i="77" s="1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T9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116" i="77"/>
  <c r="T7" i="77" s="1"/>
  <c r="D167" i="77"/>
  <c r="E161" i="77"/>
  <c r="AY23" i="77"/>
  <c r="Q124" i="77"/>
  <c r="K177" i="77"/>
  <c r="F183" i="77"/>
  <c r="D116" i="77"/>
  <c r="D7" i="77" s="1"/>
  <c r="R116" i="76"/>
  <c r="Q116" i="76"/>
  <c r="F161" i="77" l="1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T177" i="77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T183" i="77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S161" i="77"/>
  <c r="R135" i="77"/>
  <c r="U183" i="77"/>
  <c r="AB177" i="77"/>
  <c r="S274" i="77"/>
  <c r="T169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161" i="77"/>
  <c r="S135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T167" i="77" l="1"/>
  <c r="U161" i="77"/>
  <c r="T135" i="77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U135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V135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AB183" i="77" l="1"/>
  <c r="X274" i="77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AB169" i="77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B161" i="77"/>
  <c r="AA135" i="77"/>
  <c r="AF183" i="77"/>
  <c r="AB274" i="77"/>
  <c r="AC169" i="77"/>
  <c r="S177" i="76"/>
  <c r="P123" i="75"/>
  <c r="P124" i="75" s="1"/>
  <c r="P113" i="75"/>
  <c r="P115" i="75" s="1"/>
  <c r="P116" i="75" s="1"/>
  <c r="AC274" i="77" l="1"/>
  <c r="AD169" i="77"/>
  <c r="AB167" i="77"/>
  <c r="AC161" i="77"/>
  <c r="AB135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<sst xmlns="http://schemas.openxmlformats.org/spreadsheetml/2006/main" count="2197" uniqueCount="418">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</sst>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3" priority="47">
      <formula>$AH11=0</formula>
    </cfRule>
  </conditionalFormatting>
  <conditionalFormatting sqref="A101:A102">
    <cfRule type="expression" dxfId="1152" priority="215">
      <formula>$AH106=0</formula>
    </cfRule>
  </conditionalFormatting>
  <conditionalFormatting sqref="A103:A107">
    <cfRule type="expression" dxfId="1151" priority="163">
      <formula>$AH102=0</formula>
    </cfRule>
  </conditionalFormatting>
  <conditionalFormatting sqref="A160:A167">
    <cfRule type="expression" dxfId="1150" priority="216">
      <formula>$AH267=0</formula>
    </cfRule>
  </conditionalFormatting>
  <conditionalFormatting sqref="A168:A275">
    <cfRule type="expression" dxfId="1149" priority="86">
      <formula>$AH168=0</formula>
    </cfRule>
  </conditionalFormatting>
  <conditionalFormatting sqref="B8">
    <cfRule type="expression" dxfId="1148" priority="211">
      <formula>AND(C$9&gt;=14/24,C$9&lt;20/24)</formula>
    </cfRule>
    <cfRule type="expression" dxfId="1147" priority="212">
      <formula>AND(C$9&gt;=8/24,C$9&lt;14/24)</formula>
    </cfRule>
    <cfRule type="expression" dxfId="1146" priority="213">
      <formula>C$9&lt;8/24</formula>
    </cfRule>
    <cfRule type="expression" dxfId="114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3" priority="129">
      <formula>AND(B$9&gt;=14/24,B$9&lt;20/24)</formula>
    </cfRule>
    <cfRule type="expression" dxfId="1142" priority="130">
      <formula>AND(B$9&gt;=8/24,B$9&lt;14/24)</formula>
    </cfRule>
    <cfRule type="expression" dxfId="1141" priority="131">
      <formula>B$9&lt;8/24</formula>
    </cfRule>
  </conditionalFormatting>
  <conditionalFormatting sqref="B29:Y53">
    <cfRule type="expression" dxfId="1140" priority="71">
      <formula>B29&gt;$AG29*1</formula>
    </cfRule>
    <cfRule type="expression" dxfId="1139" priority="72">
      <formula>B$9&gt;=20/24</formula>
    </cfRule>
    <cfRule type="expression" dxfId="1138" priority="73">
      <formula>AND(B$9&gt;=14/24,B$9&lt;20/24)</formula>
    </cfRule>
    <cfRule type="expression" dxfId="1137" priority="74">
      <formula>AND(B$9&gt;=8/24,B$9&lt;14/24)</formula>
    </cfRule>
    <cfRule type="expression" dxfId="1136" priority="75">
      <formula>B$9&lt;8/24</formula>
    </cfRule>
  </conditionalFormatting>
  <conditionalFormatting sqref="B54:Y68">
    <cfRule type="expression" dxfId="1135" priority="64">
      <formula>B$9&lt;8/24</formula>
    </cfRule>
  </conditionalFormatting>
  <conditionalFormatting sqref="B54:Y70">
    <cfRule type="expression" dxfId="1134" priority="61">
      <formula>B$9&gt;=20/24</formula>
    </cfRule>
    <cfRule type="expression" dxfId="1133" priority="62">
      <formula>AND(B$9&gt;=14/24,B$9&lt;20/24)</formula>
    </cfRule>
    <cfRule type="expression" dxfId="1132" priority="63">
      <formula>AND(B$9&gt;=8/24,B$9&lt;14/24)</formula>
    </cfRule>
  </conditionalFormatting>
  <conditionalFormatting sqref="B63:Y65">
    <cfRule type="expression" dxfId="1131" priority="65">
      <formula>B63&gt;$AG63</formula>
    </cfRule>
  </conditionalFormatting>
  <conditionalFormatting sqref="B69:Y70">
    <cfRule type="expression" dxfId="1130" priority="136">
      <formula>B$9&lt;8/24</formula>
    </cfRule>
  </conditionalFormatting>
  <conditionalFormatting sqref="B72:AF75">
    <cfRule type="expression" dxfId="1129" priority="52">
      <formula>B72&gt;$AG72*1</formula>
    </cfRule>
  </conditionalFormatting>
  <conditionalFormatting sqref="B73:AF75">
    <cfRule type="expression" dxfId="1128" priority="53">
      <formula>B$9&gt;=20/24</formula>
    </cfRule>
    <cfRule type="expression" dxfId="1127" priority="54">
      <formula>AND(B$9&gt;=14/24,B$9&lt;20/24)</formula>
    </cfRule>
    <cfRule type="expression" dxfId="1126" priority="55">
      <formula>AND(B$9&gt;=8/24,B$9&lt;14/24)</formula>
    </cfRule>
    <cfRule type="expression" dxfId="1125" priority="56">
      <formula>B$9&lt;8/24</formula>
    </cfRule>
  </conditionalFormatting>
  <conditionalFormatting sqref="F161:AF167">
    <cfRule type="expression" dxfId="1124" priority="87">
      <formula>F$9&gt;=20/24</formula>
    </cfRule>
    <cfRule type="expression" dxfId="1123" priority="88">
      <formula>AND(F$9&gt;=14/24,F$9&lt;20/24)</formula>
    </cfRule>
    <cfRule type="expression" dxfId="1122" priority="89">
      <formula>AND(F$9&gt;=8/24,F$9&lt;14/24)</formula>
    </cfRule>
    <cfRule type="expression" dxfId="1121" priority="90">
      <formula>F$9&lt;8/24</formula>
    </cfRule>
  </conditionalFormatting>
  <conditionalFormatting sqref="F169:AF274">
    <cfRule type="expression" dxfId="1120" priority="48">
      <formula>F$9&gt;=20/24</formula>
    </cfRule>
    <cfRule type="expression" dxfId="1119" priority="49">
      <formula>AND(F$9&gt;=14/24,F$9&lt;20/24)</formula>
    </cfRule>
    <cfRule type="expression" dxfId="1118" priority="50">
      <formula>AND(F$9&gt;=8/24,F$9&lt;14/24)</formula>
    </cfRule>
    <cfRule type="expression" dxfId="1117" priority="51">
      <formula>F$9&lt;8/24</formula>
    </cfRule>
  </conditionalFormatting>
  <conditionalFormatting sqref="AF96:AG96 B71:AG71 Z78:AG78 X91:AF91 B76:W96 B69:Y69 X76:Y90 X92:AE96 Z76:AF77 Z79:AF90 AF92:AF95">
    <cfRule type="expression" dxfId="1116" priority="127">
      <formula>B69&gt;$AG69*1</formula>
    </cfRule>
  </conditionalFormatting>
  <conditionalFormatting sqref="F79:Y83">
    <cfRule type="expression" dxfId="1115" priority="137">
      <formula>F$9&gt;=20/24</formula>
    </cfRule>
    <cfRule type="expression" dxfId="1114" priority="138">
      <formula>AND(F$9&gt;=14/24,F$9&lt;20/24)</formula>
    </cfRule>
    <cfRule type="expression" dxfId="1113" priority="139">
      <formula>AND(F$9&gt;=8/24,F$9&lt;14/24)</formula>
    </cfRule>
    <cfRule type="expression" dxfId="1112" priority="140">
      <formula>F$9&lt;8/24</formula>
    </cfRule>
  </conditionalFormatting>
  <conditionalFormatting sqref="F84:Y84">
    <cfRule type="expression" dxfId="1111" priority="132">
      <formula>F$9&gt;=20/24</formula>
    </cfRule>
    <cfRule type="expression" dxfId="1110" priority="133">
      <formula>AND(F$9&gt;=14/24,F$9&lt;20/24)</formula>
    </cfRule>
    <cfRule type="expression" dxfId="1109" priority="134">
      <formula>AND(F$9&gt;=8/24,F$9&lt;14/24)</formula>
    </cfRule>
    <cfRule type="expression" dxfId="1108" priority="135">
      <formula>F$9&lt;8/24</formula>
    </cfRule>
  </conditionalFormatting>
  <conditionalFormatting sqref="F78:AF78 B72:AF72">
    <cfRule type="expression" dxfId="1107" priority="147">
      <formula>B$9&gt;=20/24</formula>
    </cfRule>
    <cfRule type="expression" dxfId="1106" priority="148">
      <formula>AND(B$9&gt;=14/24,B$9&lt;20/24)</formula>
    </cfRule>
    <cfRule type="expression" dxfId="1105" priority="149">
      <formula>AND(B$9&gt;=8/24,B$9&lt;14/24)</formula>
    </cfRule>
    <cfRule type="expression" dxfId="1104" priority="150">
      <formula>B$9&lt;8/24</formula>
    </cfRule>
  </conditionalFormatting>
  <conditionalFormatting sqref="F79:Y81">
    <cfRule type="expression" dxfId="1103" priority="155">
      <formula>F$9&gt;=20/24</formula>
    </cfRule>
    <cfRule type="expression" dxfId="1102" priority="156">
      <formula>AND(F$9&gt;=14/24,F$9&lt;20/24)</formula>
    </cfRule>
    <cfRule type="expression" dxfId="1101" priority="157">
      <formula>AND(F$9&gt;=8/24,F$9&lt;14/24)</formula>
    </cfRule>
    <cfRule type="expression" dxfId="1100" priority="158">
      <formula>F$9&lt;8/24</formula>
    </cfRule>
  </conditionalFormatting>
  <conditionalFormatting sqref="L84:AF84">
    <cfRule type="expression" dxfId="1099" priority="151">
      <formula>L$9&gt;=20/24</formula>
    </cfRule>
    <cfRule type="expression" dxfId="1098" priority="152">
      <formula>AND(L$9&gt;=14/24,L$9&lt;20/24)</formula>
    </cfRule>
    <cfRule type="expression" dxfId="1097" priority="153">
      <formula>AND(L$9&gt;=8/24,L$9&lt;14/24)</formula>
    </cfRule>
    <cfRule type="expression" dxfId="1096" priority="154">
      <formula>L$9&lt;8/24</formula>
    </cfRule>
  </conditionalFormatting>
  <conditionalFormatting sqref="M8 S8 AB8">
    <cfRule type="expression" dxfId="1095" priority="204">
      <formula>AND(N$9&gt;=14/24,N$9&lt;20/24)</formula>
    </cfRule>
    <cfRule type="expression" dxfId="1094" priority="205">
      <formula>AND(N$9&gt;=8/24,N$9&lt;14/24)</formula>
    </cfRule>
    <cfRule type="expression" dxfId="1093" priority="206">
      <formula>N$9&lt;8/24</formula>
    </cfRule>
  </conditionalFormatting>
  <conditionalFormatting sqref="T79:Y83 Z80:AF83">
    <cfRule type="expression" dxfId="1092" priority="159">
      <formula>T$9&gt;=20/24</formula>
    </cfRule>
    <cfRule type="expression" dxfId="1091" priority="160">
      <formula>AND(T$9&gt;=14/24,T$9&lt;20/24)</formula>
    </cfRule>
    <cfRule type="expression" dxfId="1090" priority="161">
      <formula>AND(T$9&gt;=8/24,T$9&lt;14/24)</formula>
    </cfRule>
    <cfRule type="expression" dxfId="108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88" priority="203">
      <formula>N$9&gt;=20/24</formula>
    </cfRule>
  </conditionalFormatting>
  <conditionalFormatting sqref="S8">
    <cfRule type="expression" dxfId="1087" priority="194">
      <formula>U$9&gt;=20/24</formula>
    </cfRule>
    <cfRule type="expression" dxfId="1086" priority="195">
      <formula>AND(U$9&gt;=14/24,U$9&lt;20/24)</formula>
    </cfRule>
    <cfRule type="expression" dxfId="1085" priority="196">
      <formula>AND(U$9&gt;=8/24,U$9&lt;14/24)</formula>
    </cfRule>
    <cfRule type="expression" dxfId="1084" priority="197">
      <formula>U$9&lt;8/24</formula>
    </cfRule>
  </conditionalFormatting>
  <conditionalFormatting sqref="T79:AF84">
    <cfRule type="expression" dxfId="1083" priority="81">
      <formula>T$9&gt;=20/24</formula>
    </cfRule>
    <cfRule type="expression" dxfId="1082" priority="82">
      <formula>AND(T$9&gt;=14/24,T$9&lt;20/24)</formula>
    </cfRule>
    <cfRule type="expression" dxfId="1081" priority="83">
      <formula>AND(T$9&gt;=8/24,T$9&lt;14/24)</formula>
    </cfRule>
    <cfRule type="expression" dxfId="108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79" priority="141">
      <formula>B54&gt;$AG54</formula>
    </cfRule>
  </conditionalFormatting>
  <conditionalFormatting sqref="AB8">
    <cfRule type="expression" dxfId="1078" priority="190">
      <formula>AD$9&gt;=20/24</formula>
    </cfRule>
    <cfRule type="expression" dxfId="1077" priority="191">
      <formula>AND(AD$9&gt;=14/24,AD$9&lt;20/24)</formula>
    </cfRule>
    <cfRule type="expression" dxfId="1076" priority="192">
      <formula>AND(AD$9&gt;=8/24,AD$9&lt;14/24)</formula>
    </cfRule>
    <cfRule type="expression" dxfId="1075" priority="193">
      <formula>AD$9&lt;8/24</formula>
    </cfRule>
  </conditionalFormatting>
  <conditionalFormatting sqref="AG78">
    <cfRule type="expression" dxfId="1074" priority="169">
      <formula>AG$9&gt;=20/24</formula>
    </cfRule>
    <cfRule type="expression" dxfId="1073" priority="170">
      <formula>AND(AG$9&gt;=14/24,AG$9&lt;20/24)</formula>
    </cfRule>
    <cfRule type="expression" dxfId="1072" priority="171">
      <formula>AND(AG$9&gt;=8/24,AG$9&lt;14/24)</formula>
    </cfRule>
    <cfRule type="expression" dxfId="1071" priority="172">
      <formula>AG$9&lt;8/24</formula>
    </cfRule>
  </conditionalFormatting>
  <conditionalFormatting sqref="AG91:AG92">
    <cfRule type="expression" dxfId="1070" priority="164">
      <formula>AG91&gt;$AG91</formula>
    </cfRule>
  </conditionalFormatting>
  <conditionalFormatting sqref="AG96">
    <cfRule type="expression" dxfId="1069" priority="165">
      <formula>AG$9&gt;=20/24</formula>
    </cfRule>
    <cfRule type="expression" dxfId="1068" priority="166">
      <formula>AND(AG$9&gt;=14/24,AG$9&lt;20/24)</formula>
    </cfRule>
    <cfRule type="expression" dxfId="1067" priority="167">
      <formula>AND(AG$9&gt;=8/24,AG$9&lt;14/24)</formula>
    </cfRule>
    <cfRule type="expression" dxfId="1066" priority="168">
      <formula>AG$9&lt;8/24</formula>
    </cfRule>
  </conditionalFormatting>
  <conditionalFormatting sqref="AG113">
    <cfRule type="expression" dxfId="1065" priority="186">
      <formula>AG$9&gt;=20/24</formula>
    </cfRule>
    <cfRule type="expression" dxfId="1064" priority="187">
      <formula>AND(AG$9&gt;=14/24,AG$9&lt;20/24)</formula>
    </cfRule>
    <cfRule type="expression" dxfId="1063" priority="188">
      <formula>AND(AG$9&gt;=8/24,AG$9&lt;14/24)</formula>
    </cfRule>
    <cfRule type="expression" dxfId="1062" priority="189">
      <formula>AG$9&lt;8/24</formula>
    </cfRule>
  </conditionalFormatting>
  <conditionalFormatting sqref="AH8:AI10">
    <cfRule type="expression" dxfId="1061" priority="77">
      <formula>AH$9&gt;=20/24</formula>
    </cfRule>
    <cfRule type="expression" dxfId="1060" priority="78">
      <formula>AND(AH$9&gt;=14/24,AH$9&lt;20/24)</formula>
    </cfRule>
    <cfRule type="expression" dxfId="1059" priority="79">
      <formula>AND(AH$9&gt;=8/24,AH$9&lt;14/24)</formula>
    </cfRule>
    <cfRule type="expression" dxfId="105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57" priority="207">
      <formula>AJ$9&gt;=20/24</formula>
    </cfRule>
    <cfRule type="expression" dxfId="1056" priority="208">
      <formula>AND(AJ$9&gt;=14/24,AJ$9&lt;20/24)</formula>
    </cfRule>
    <cfRule type="expression" dxfId="1055" priority="209">
      <formula>AND(AJ$9&gt;=8/24,AJ$9&lt;14/24)</formula>
    </cfRule>
    <cfRule type="expression" dxfId="1054" priority="210">
      <formula>AJ$9&lt;8/24</formula>
    </cfRule>
  </conditionalFormatting>
  <conditionalFormatting sqref="AL99:AN99 AL105:AN105">
    <cfRule type="expression" dxfId="1053" priority="179">
      <formula>AL$9&gt;=20/24</formula>
    </cfRule>
    <cfRule type="expression" dxfId="1052" priority="180">
      <formula>AND(AL$9&gt;=14/24,AL$9&lt;20/24)</formula>
    </cfRule>
    <cfRule type="expression" dxfId="1051" priority="181">
      <formula>AND(AL$9&gt;=8/24,AL$9&lt;14/24)</formula>
    </cfRule>
    <cfRule type="expression" dxfId="1050" priority="182">
      <formula>AL$9&lt;8/24</formula>
    </cfRule>
  </conditionalFormatting>
  <conditionalFormatting sqref="AM15:AM21 AN16:AR21">
    <cfRule type="expression" dxfId="1049" priority="103">
      <formula>AX$9&gt;=20/24</formula>
    </cfRule>
    <cfRule type="expression" dxfId="1048" priority="104">
      <formula>AND(AX$9&gt;=14/24,AX$9&lt;20/24)</formula>
    </cfRule>
    <cfRule type="expression" dxfId="1047" priority="105">
      <formula>AND(AX$9&gt;=8/24,AX$9&lt;14/24)</formula>
    </cfRule>
    <cfRule type="expression" dxfId="1046" priority="106">
      <formula>AX$9&lt;8/24</formula>
    </cfRule>
  </conditionalFormatting>
  <conditionalFormatting sqref="AN100:AN103">
    <cfRule type="expression" dxfId="1045" priority="175">
      <formula>AN$9&gt;=20/24</formula>
    </cfRule>
    <cfRule type="expression" dxfId="1044" priority="176">
      <formula>AND(AN$9&gt;=14/24,AN$9&lt;20/24)</formula>
    </cfRule>
    <cfRule type="expression" dxfId="1043" priority="177">
      <formula>AND(AN$9&gt;=8/24,AN$9&lt;14/24)</formula>
    </cfRule>
    <cfRule type="expression" dxfId="1042" priority="178">
      <formula>AN$9&lt;8/24</formula>
    </cfRule>
  </conditionalFormatting>
  <conditionalFormatting sqref="AN15:AR15">
    <cfRule type="expression" dxfId="1041" priority="91">
      <formula>U$9&gt;=20/24</formula>
    </cfRule>
    <cfRule type="expression" dxfId="1040" priority="92">
      <formula>AND(U$9&gt;=14/24,U$9&lt;20/24)</formula>
    </cfRule>
    <cfRule type="expression" dxfId="1039" priority="93">
      <formula>AND(U$9&gt;=8/24,U$9&lt;14/24)</formula>
    </cfRule>
    <cfRule type="expression" dxfId="1038" priority="94">
      <formula>U$9&lt;8/24</formula>
    </cfRule>
  </conditionalFormatting>
  <conditionalFormatting sqref="AS15">
    <cfRule type="expression" dxfId="1037" priority="99">
      <formula>AA$9&gt;=20/24</formula>
    </cfRule>
    <cfRule type="expression" dxfId="1036" priority="100">
      <formula>AND(AA$9&gt;=14/24,AA$9&lt;20/24)</formula>
    </cfRule>
    <cfRule type="expression" dxfId="1035" priority="101">
      <formula>AND(AA$9&gt;=8/24,AA$9&lt;14/24)</formula>
    </cfRule>
    <cfRule type="expression" dxfId="1034" priority="102">
      <formula>AA$9&lt;8/24</formula>
    </cfRule>
  </conditionalFormatting>
  <conditionalFormatting sqref="AS16:AS21">
    <cfRule type="expression" dxfId="1033" priority="107">
      <formula>BE$9&gt;=20/24</formula>
    </cfRule>
    <cfRule type="expression" dxfId="1032" priority="108">
      <formula>AND(BE$9&gt;=14/24,BE$9&lt;20/24)</formula>
    </cfRule>
    <cfRule type="expression" dxfId="1031" priority="109">
      <formula>AND(BE$9&gt;=8/24,BE$9&lt;14/24)</formula>
    </cfRule>
    <cfRule type="expression" dxfId="1030" priority="110">
      <formula>BE$9&lt;8/24</formula>
    </cfRule>
  </conditionalFormatting>
  <conditionalFormatting sqref="AT15 AX15:BJ15">
    <cfRule type="expression" dxfId="1029" priority="111">
      <formula>AC$9&gt;=20/24</formula>
    </cfRule>
    <cfRule type="expression" dxfId="1028" priority="112">
      <formula>AND(AC$9&gt;=14/24,AC$9&lt;20/24)</formula>
    </cfRule>
    <cfRule type="expression" dxfId="1027" priority="113">
      <formula>AND(AC$9&gt;=8/24,AC$9&lt;14/24)</formula>
    </cfRule>
    <cfRule type="expression" dxfId="1026" priority="114">
      <formula>AC$9&lt;8/24</formula>
    </cfRule>
  </conditionalFormatting>
  <conditionalFormatting sqref="AT16:AT21">
    <cfRule type="expression" dxfId="1025" priority="115">
      <formula>BG$9&gt;=20/24</formula>
    </cfRule>
    <cfRule type="expression" dxfId="1024" priority="116">
      <formula>AND(BG$9&gt;=14/24,BG$9&lt;20/24)</formula>
    </cfRule>
    <cfRule type="expression" dxfId="1023" priority="117">
      <formula>AND(BG$9&gt;=8/24,BG$9&lt;14/24)</formula>
    </cfRule>
    <cfRule type="expression" dxfId="1022" priority="118">
      <formula>BG$9&lt;8/24</formula>
    </cfRule>
  </conditionalFormatting>
  <conditionalFormatting sqref="AU15:AV15">
    <cfRule type="expression" dxfId="1021" priority="119">
      <formula>AE$9&gt;=20/24</formula>
    </cfRule>
    <cfRule type="expression" dxfId="1020" priority="120">
      <formula>AND(AE$9&gt;=14/24,AE$9&lt;20/24)</formula>
    </cfRule>
    <cfRule type="expression" dxfId="1019" priority="121">
      <formula>AND(AE$9&gt;=8/24,AE$9&lt;14/24)</formula>
    </cfRule>
    <cfRule type="expression" dxfId="1018" priority="122">
      <formula>AE$9&lt;8/24</formula>
    </cfRule>
  </conditionalFormatting>
  <conditionalFormatting sqref="AU16:BJ21">
    <cfRule type="expression" dxfId="1017" priority="123">
      <formula>BI$9&gt;=20/24</formula>
    </cfRule>
    <cfRule type="expression" dxfId="1016" priority="124">
      <formula>AND(BI$9&gt;=14/24,BI$9&lt;20/24)</formula>
    </cfRule>
    <cfRule type="expression" dxfId="1015" priority="125">
      <formula>AND(BI$9&gt;=8/24,BI$9&lt;14/24)</formula>
    </cfRule>
    <cfRule type="expression" dxfId="1014" priority="126">
      <formula>BI$9&lt;8/24</formula>
    </cfRule>
  </conditionalFormatting>
  <conditionalFormatting sqref="AW15">
    <cfRule type="expression" dxfId="1013" priority="95">
      <formula>B$9&gt;=20/24</formula>
    </cfRule>
    <cfRule type="expression" dxfId="1012" priority="96">
      <formula>AND(B$9&gt;=14/24,B$9&lt;20/24)</formula>
    </cfRule>
    <cfRule type="expression" dxfId="1011" priority="97">
      <formula>AND(B$9&gt;=8/24,B$9&lt;14/24)</formula>
    </cfRule>
    <cfRule type="expression" dxfId="1010" priority="98">
      <formula>B$9&lt;8/24</formula>
    </cfRule>
  </conditionalFormatting>
  <conditionalFormatting sqref="A73">
    <cfRule type="expression" dxfId="1009" priority="46">
      <formula>$AH73=0</formula>
    </cfRule>
  </conditionalFormatting>
  <conditionalFormatting sqref="B97:E107 B137:E152 B109:E112 B125:E134 B154:E159 F97:F102 G98:G102 F126:G133 F137:G151 B11:Y13 AA11:AF13">
    <cfRule type="expression" dxfId="1008" priority="42">
      <formula>B$9&gt;=20/24</formula>
    </cfRule>
  </conditionalFormatting>
  <conditionalFormatting sqref="B97:E107 B137:E152 B109:E112 B125:E134 B154:E159 F97:F102 G98:G102 F126:G133 F137:G151 B11:Y13 AA11:AF13">
    <cfRule type="expression" dxfId="1007" priority="43">
      <formula>AND(B$9&gt;=14/24,B$9&lt;20/24)</formula>
    </cfRule>
    <cfRule type="expression" dxfId="1006" priority="44">
      <formula>AND(B$9&gt;=8/24,B$9&lt;14/24)</formula>
    </cfRule>
    <cfRule type="expression" dxfId="1005" priority="45">
      <formula>B$9&lt;8/24</formula>
    </cfRule>
  </conditionalFormatting>
  <conditionalFormatting sqref="B14:Y28 AA14:AF16">
    <cfRule type="expression" dxfId="1004" priority="32">
      <formula>B14&gt;$AG14*1</formula>
    </cfRule>
    <cfRule type="expression" dxfId="1003" priority="33">
      <formula>B$9&gt;=20/24</formula>
    </cfRule>
    <cfRule type="expression" dxfId="1002" priority="34">
      <formula>AND(B$9&gt;=14/24,B$9&lt;20/24)</formula>
    </cfRule>
    <cfRule type="expression" dxfId="1001" priority="35">
      <formula>AND(B$9&gt;=8/24,B$9&lt;14/24)</formula>
    </cfRule>
    <cfRule type="expression" dxfId="1000" priority="36">
      <formula>B$9&lt;8/24</formula>
    </cfRule>
  </conditionalFormatting>
  <conditionalFormatting sqref="B161:E167">
    <cfRule type="expression" dxfId="999" priority="37">
      <formula>B$9&gt;=20/24</formula>
    </cfRule>
    <cfRule type="expression" dxfId="998" priority="38">
      <formula>AND(B$9&gt;=14/24,B$9&lt;20/24)</formula>
    </cfRule>
    <cfRule type="expression" dxfId="997" priority="39">
      <formula>AND(B$9&gt;=8/24,B$9&lt;14/24)</formula>
    </cfRule>
    <cfRule type="expression" dxfId="996" priority="40">
      <formula>B$9&lt;8/24</formula>
    </cfRule>
  </conditionalFormatting>
  <conditionalFormatting sqref="B169:E274">
    <cfRule type="expression" dxfId="995" priority="28">
      <formula>B$9&gt;=20/24</formula>
    </cfRule>
    <cfRule type="expression" dxfId="994" priority="29">
      <formula>AND(B$9&gt;=14/24,B$9&lt;20/24)</formula>
    </cfRule>
    <cfRule type="expression" dxfId="993" priority="30">
      <formula>AND(B$9&gt;=8/24,B$9&lt;14/24)</formula>
    </cfRule>
    <cfRule type="expression" dxfId="992" priority="31">
      <formula>B$9&lt;8/24</formula>
    </cfRule>
  </conditionalFormatting>
  <conditionalFormatting sqref="B11:Y13 AA11:AF13">
    <cfRule type="expression" dxfId="991" priority="41">
      <formula>B11&gt;$AG11*1</formula>
    </cfRule>
  </conditionalFormatting>
  <conditionalFormatting sqref="A153">
    <cfRule type="expression" dxfId="99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89" priority="23">
      <formula>AL$9&gt;=20/24</formula>
    </cfRule>
  </conditionalFormatting>
  <conditionalFormatting sqref="AL153">
    <cfRule type="expression" dxfId="988" priority="24">
      <formula>AND(AL$9&gt;=14/24,AL$9&lt;20/24)</formula>
    </cfRule>
    <cfRule type="expression" dxfId="987" priority="25">
      <formula>AND(AL$9&gt;=8/24,AL$9&lt;14/24)</formula>
    </cfRule>
    <cfRule type="expression" dxfId="986" priority="26">
      <formula>AL$9&lt;8/24</formula>
    </cfRule>
  </conditionalFormatting>
  <conditionalFormatting sqref="Z56:AF68">
    <cfRule type="expression" dxfId="985" priority="1">
      <formula>Z$9&gt;=20/24</formula>
    </cfRule>
    <cfRule type="expression" dxfId="984" priority="2">
      <formula>AND(Z$9&gt;=14/24,Z$9&lt;20/24)</formula>
    </cfRule>
    <cfRule type="expression" dxfId="983" priority="3">
      <formula>AND(Z$9&gt;=8/24,Z$9&lt;14/24)</formula>
    </cfRule>
  </conditionalFormatting>
  <conditionalFormatting sqref="Z11:Z13">
    <cfRule type="expression" dxfId="982" priority="17">
      <formula>Z$9&gt;=20/24</formula>
    </cfRule>
  </conditionalFormatting>
  <conditionalFormatting sqref="Z11:Z13">
    <cfRule type="expression" dxfId="981" priority="18">
      <formula>AND(Z$9&gt;=14/24,Z$9&lt;20/24)</formula>
    </cfRule>
    <cfRule type="expression" dxfId="980" priority="19">
      <formula>AND(Z$9&gt;=8/24,Z$9&lt;14/24)</formula>
    </cfRule>
    <cfRule type="expression" dxfId="979" priority="20">
      <formula>Z$9&lt;8/24</formula>
    </cfRule>
  </conditionalFormatting>
  <conditionalFormatting sqref="Z14:Z53 AA17:AF53">
    <cfRule type="expression" dxfId="978" priority="11">
      <formula>Z14&gt;$AG14*1</formula>
    </cfRule>
    <cfRule type="expression" dxfId="977" priority="12">
      <formula>Z$9&gt;=20/24</formula>
    </cfRule>
    <cfRule type="expression" dxfId="976" priority="13">
      <formula>AND(Z$9&gt;=14/24,Z$9&lt;20/24)</formula>
    </cfRule>
    <cfRule type="expression" dxfId="975" priority="14">
      <formula>AND(Z$9&gt;=8/24,Z$9&lt;14/24)</formula>
    </cfRule>
    <cfRule type="expression" dxfId="974" priority="15">
      <formula>Z$9&lt;8/24</formula>
    </cfRule>
  </conditionalFormatting>
  <conditionalFormatting sqref="Z54:AF55">
    <cfRule type="expression" dxfId="973" priority="10">
      <formula>Z$9&lt;8/24</formula>
    </cfRule>
  </conditionalFormatting>
  <conditionalFormatting sqref="Z54:AF55 Z69:AF70">
    <cfRule type="expression" dxfId="972" priority="7">
      <formula>Z$9&gt;=20/24</formula>
    </cfRule>
    <cfRule type="expression" dxfId="971" priority="8">
      <formula>AND(Z$9&gt;=14/24,Z$9&lt;20/24)</formula>
    </cfRule>
    <cfRule type="expression" dxfId="970" priority="9">
      <formula>AND(Z$9&gt;=8/24,Z$9&lt;14/24)</formula>
    </cfRule>
  </conditionalFormatting>
  <conditionalFormatting sqref="Z69:AF70">
    <cfRule type="expression" dxfId="969" priority="21">
      <formula>Z$9&lt;8/24</formula>
    </cfRule>
  </conditionalFormatting>
  <conditionalFormatting sqref="Z11:Z13 Z69:AF69">
    <cfRule type="expression" dxfId="968" priority="16">
      <formula>Z11&gt;$AG11*1</formula>
    </cfRule>
  </conditionalFormatting>
  <conditionalFormatting sqref="Z54:AF55 Z69:AF70">
    <cfRule type="expression" dxfId="967" priority="22">
      <formula>Z54&gt;$AG54</formula>
    </cfRule>
  </conditionalFormatting>
  <conditionalFormatting sqref="Z56:AF68">
    <cfRule type="expression" dxfId="966" priority="4">
      <formula>Z$9&lt;8/24</formula>
    </cfRule>
  </conditionalFormatting>
  <conditionalFormatting sqref="Z63:AF65">
    <cfRule type="expression" dxfId="965" priority="5">
      <formula>Z63&gt;$AG63</formula>
    </cfRule>
  </conditionalFormatting>
  <conditionalFormatting sqref="Z66:AF68 Z56:AF62">
    <cfRule type="expression" dxfId="96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3" priority="97">
      <formula>$AH11=0</formula>
    </cfRule>
  </conditionalFormatting>
  <conditionalFormatting sqref="A101:A102">
    <cfRule type="expression" dxfId="962" priority="265">
      <formula>$AH106=0</formula>
    </cfRule>
  </conditionalFormatting>
  <conditionalFormatting sqref="A103:A107">
    <cfRule type="expression" dxfId="961" priority="213">
      <formula>$AH102=0</formula>
    </cfRule>
  </conditionalFormatting>
  <conditionalFormatting sqref="A160:A167">
    <cfRule type="expression" dxfId="960" priority="266">
      <formula>$AH267=0</formula>
    </cfRule>
  </conditionalFormatting>
  <conditionalFormatting sqref="A168:A275">
    <cfRule type="expression" dxfId="959" priority="136">
      <formula>$AH168=0</formula>
    </cfRule>
  </conditionalFormatting>
  <conditionalFormatting sqref="B8">
    <cfRule type="expression" dxfId="958" priority="261">
      <formula>AND(C$9&gt;=14/24,C$9&lt;20/24)</formula>
    </cfRule>
    <cfRule type="expression" dxfId="957" priority="262">
      <formula>AND(C$9&gt;=8/24,C$9&lt;14/24)</formula>
    </cfRule>
    <cfRule type="expression" dxfId="956" priority="263">
      <formula>C$9&lt;8/24</formula>
    </cfRule>
    <cfRule type="expression" dxfId="95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3" priority="179">
      <formula>AND(B$9&gt;=14/24,B$9&lt;20/24)</formula>
    </cfRule>
    <cfRule type="expression" dxfId="952" priority="180">
      <formula>AND(B$9&gt;=8/24,B$9&lt;14/24)</formula>
    </cfRule>
    <cfRule type="expression" dxfId="951" priority="181">
      <formula>B$9&lt;8/24</formula>
    </cfRule>
  </conditionalFormatting>
  <conditionalFormatting sqref="AA14:AF53">
    <cfRule type="expression" dxfId="950" priority="121">
      <formula>AA14&gt;$AG14*1</formula>
    </cfRule>
    <cfRule type="expression" dxfId="949" priority="122">
      <formula>AA$9&gt;=20/24</formula>
    </cfRule>
    <cfRule type="expression" dxfId="948" priority="123">
      <formula>AND(AA$9&gt;=14/24,AA$9&lt;20/24)</formula>
    </cfRule>
    <cfRule type="expression" dxfId="947" priority="124">
      <formula>AND(AA$9&gt;=8/24,AA$9&lt;14/24)</formula>
    </cfRule>
    <cfRule type="expression" dxfId="946" priority="125">
      <formula>AA$9&lt;8/24</formula>
    </cfRule>
  </conditionalFormatting>
  <conditionalFormatting sqref="AA54:AF68">
    <cfRule type="expression" dxfId="945" priority="114">
      <formula>AA$9&lt;8/24</formula>
    </cfRule>
  </conditionalFormatting>
  <conditionalFormatting sqref="AA54:AF70">
    <cfRule type="expression" dxfId="944" priority="111">
      <formula>AA$9&gt;=20/24</formula>
    </cfRule>
    <cfRule type="expression" dxfId="943" priority="112">
      <formula>AND(AA$9&gt;=14/24,AA$9&lt;20/24)</formula>
    </cfRule>
    <cfRule type="expression" dxfId="942" priority="113">
      <formula>AND(AA$9&gt;=8/24,AA$9&lt;14/24)</formula>
    </cfRule>
  </conditionalFormatting>
  <conditionalFormatting sqref="AA63:AF65">
    <cfRule type="expression" dxfId="941" priority="115">
      <formula>AA63&gt;$AG63</formula>
    </cfRule>
  </conditionalFormatting>
  <conditionalFormatting sqref="AA69:AF70">
    <cfRule type="expression" dxfId="940" priority="186">
      <formula>AA$9&lt;8/24</formula>
    </cfRule>
  </conditionalFormatting>
  <conditionalFormatting sqref="AA72:AF75">
    <cfRule type="expression" dxfId="939" priority="102">
      <formula>AA72&gt;$AG72*1</formula>
    </cfRule>
  </conditionalFormatting>
  <conditionalFormatting sqref="AA73:AF75">
    <cfRule type="expression" dxfId="938" priority="103">
      <formula>AA$9&gt;=20/24</formula>
    </cfRule>
    <cfRule type="expression" dxfId="937" priority="104">
      <formula>AND(AA$9&gt;=14/24,AA$9&lt;20/24)</formula>
    </cfRule>
    <cfRule type="expression" dxfId="936" priority="105">
      <formula>AND(AA$9&gt;=8/24,AA$9&lt;14/24)</formula>
    </cfRule>
    <cfRule type="expression" dxfId="935" priority="106">
      <formula>AA$9&lt;8/24</formula>
    </cfRule>
  </conditionalFormatting>
  <conditionalFormatting sqref="C161:AF167">
    <cfRule type="expression" dxfId="934" priority="137">
      <formula>C$9&gt;=20/24</formula>
    </cfRule>
    <cfRule type="expression" dxfId="933" priority="138">
      <formula>AND(C$9&gt;=14/24,C$9&lt;20/24)</formula>
    </cfRule>
    <cfRule type="expression" dxfId="932" priority="139">
      <formula>AND(C$9&gt;=8/24,C$9&lt;14/24)</formula>
    </cfRule>
    <cfRule type="expression" dxfId="931" priority="140">
      <formula>C$9&lt;8/24</formula>
    </cfRule>
  </conditionalFormatting>
  <conditionalFormatting sqref="C169:AF274">
    <cfRule type="expression" dxfId="930" priority="98">
      <formula>C$9&gt;=20/24</formula>
    </cfRule>
    <cfRule type="expression" dxfId="929" priority="99">
      <formula>AND(C$9&gt;=14/24,C$9&lt;20/24)</formula>
    </cfRule>
    <cfRule type="expression" dxfId="928" priority="100">
      <formula>AND(C$9&gt;=8/24,C$9&lt;14/24)</formula>
    </cfRule>
    <cfRule type="expression" dxfId="927" priority="101">
      <formula>C$9&lt;8/24</formula>
    </cfRule>
  </conditionalFormatting>
  <conditionalFormatting sqref="B96:M96 B91:D92 E91:M95 AA96:AG96 N91:Z96 B71:AG71 B78:AG78 AA11:AF13 AA69:AF70 AA76:AF77 AA79:AF95">
    <cfRule type="expression" dxfId="926" priority="177">
      <formula>B11&gt;$AG11*1</formula>
    </cfRule>
  </conditionalFormatting>
  <conditionalFormatting sqref="G78:AF78 AA72:AF72 AA76:AF77">
    <cfRule type="expression" dxfId="925" priority="197">
      <formula>G$9&gt;=20/24</formula>
    </cfRule>
    <cfRule type="expression" dxfId="924" priority="198">
      <formula>AND(G$9&gt;=14/24,G$9&lt;20/24)</formula>
    </cfRule>
    <cfRule type="expression" dxfId="923" priority="199">
      <formula>AND(G$9&gt;=8/24,G$9&lt;14/24)</formula>
    </cfRule>
    <cfRule type="expression" dxfId="922" priority="200">
      <formula>G$9&lt;8/24</formula>
    </cfRule>
  </conditionalFormatting>
  <conditionalFormatting sqref="AA73:AF75">
    <cfRule type="expression" dxfId="921" priority="107">
      <formula>AA$9&gt;=20/24</formula>
    </cfRule>
    <cfRule type="expression" dxfId="920" priority="108">
      <formula>AND(AA$9&gt;=14/24,AA$9&lt;20/24)</formula>
    </cfRule>
    <cfRule type="expression" dxfId="919" priority="109">
      <formula>AND(AA$9&gt;=8/24,AA$9&lt;14/24)</formula>
    </cfRule>
    <cfRule type="expression" dxfId="918" priority="110">
      <formula>AA$9&lt;8/24</formula>
    </cfRule>
  </conditionalFormatting>
  <conditionalFormatting sqref="AA84:AF84">
    <cfRule type="expression" dxfId="917" priority="201">
      <formula>AA$9&gt;=20/24</formula>
    </cfRule>
    <cfRule type="expression" dxfId="916" priority="202">
      <formula>AND(AA$9&gt;=14/24,AA$9&lt;20/24)</formula>
    </cfRule>
    <cfRule type="expression" dxfId="915" priority="203">
      <formula>AND(AA$9&gt;=8/24,AA$9&lt;14/24)</formula>
    </cfRule>
    <cfRule type="expression" dxfId="914" priority="204">
      <formula>AA$9&lt;8/24</formula>
    </cfRule>
  </conditionalFormatting>
  <conditionalFormatting sqref="M8 S8 AB8">
    <cfRule type="expression" dxfId="913" priority="254">
      <formula>AND(N$9&gt;=14/24,N$9&lt;20/24)</formula>
    </cfRule>
    <cfRule type="expression" dxfId="912" priority="255">
      <formula>AND(N$9&gt;=8/24,N$9&lt;14/24)</formula>
    </cfRule>
    <cfRule type="expression" dxfId="911" priority="256">
      <formula>N$9&lt;8/24</formula>
    </cfRule>
  </conditionalFormatting>
  <conditionalFormatting sqref="AA80:AF83">
    <cfRule type="expression" dxfId="910" priority="209">
      <formula>AA$9&gt;=20/24</formula>
    </cfRule>
    <cfRule type="expression" dxfId="909" priority="210">
      <formula>AND(AA$9&gt;=14/24,AA$9&lt;20/24)</formula>
    </cfRule>
    <cfRule type="expression" dxfId="908" priority="211">
      <formula>AND(AA$9&gt;=8/24,AA$9&lt;14/24)</formula>
    </cfRule>
    <cfRule type="expression" dxfId="90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53">
      <formula>N$9&gt;=20/24</formula>
    </cfRule>
  </conditionalFormatting>
  <conditionalFormatting sqref="S8">
    <cfRule type="expression" dxfId="905" priority="244">
      <formula>U$9&gt;=20/24</formula>
    </cfRule>
    <cfRule type="expression" dxfId="904" priority="245">
      <formula>AND(U$9&gt;=14/24,U$9&lt;20/24)</formula>
    </cfRule>
    <cfRule type="expression" dxfId="903" priority="246">
      <formula>AND(U$9&gt;=8/24,U$9&lt;14/24)</formula>
    </cfRule>
    <cfRule type="expression" dxfId="902" priority="247">
      <formula>U$9&lt;8/24</formula>
    </cfRule>
  </conditionalFormatting>
  <conditionalFormatting sqref="AA79:AF84">
    <cfRule type="expression" dxfId="901" priority="131">
      <formula>AA$9&gt;=20/24</formula>
    </cfRule>
    <cfRule type="expression" dxfId="900" priority="132">
      <formula>AND(AA$9&gt;=14/24,AA$9&lt;20/24)</formula>
    </cfRule>
    <cfRule type="expression" dxfId="899" priority="133">
      <formula>AND(AA$9&gt;=8/24,AA$9&lt;14/24)</formula>
    </cfRule>
    <cfRule type="expression" dxfId="89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897" priority="116">
      <formula>AA$9&gt;=20/24</formula>
    </cfRule>
    <cfRule type="expression" dxfId="896" priority="117">
      <formula>AND(AA$9&gt;=14/24,AA$9&lt;20/24)</formula>
    </cfRule>
    <cfRule type="expression" dxfId="895" priority="118">
      <formula>AND(AA$9&gt;=8/24,AA$9&lt;14/24)</formula>
    </cfRule>
    <cfRule type="expression" dxfId="894" priority="119">
      <formula>AA$9&lt;8/24</formula>
    </cfRule>
  </conditionalFormatting>
  <conditionalFormatting sqref="AA54:AF62 AA66:AF69">
    <cfRule type="expression" dxfId="892" priority="191">
      <formula>AA54&gt;$AG54</formula>
    </cfRule>
  </conditionalFormatting>
  <conditionalFormatting sqref="AB8">
    <cfRule type="expression" dxfId="891" priority="240">
      <formula>AD$9&gt;=20/24</formula>
    </cfRule>
    <cfRule type="expression" dxfId="890" priority="241">
      <formula>AND(AD$9&gt;=14/24,AD$9&lt;20/24)</formula>
    </cfRule>
    <cfRule type="expression" dxfId="889" priority="242">
      <formula>AND(AD$9&gt;=8/24,AD$9&lt;14/24)</formula>
    </cfRule>
    <cfRule type="expression" dxfId="888" priority="243">
      <formula>AD$9&lt;8/24</formula>
    </cfRule>
  </conditionalFormatting>
  <conditionalFormatting sqref="AG78">
    <cfRule type="expression" dxfId="882" priority="219">
      <formula>AG$9&gt;=20/24</formula>
    </cfRule>
    <cfRule type="expression" dxfId="881" priority="220">
      <formula>AND(AG$9&gt;=14/24,AG$9&lt;20/24)</formula>
    </cfRule>
    <cfRule type="expression" dxfId="880" priority="221">
      <formula>AND(AG$9&gt;=8/24,AG$9&lt;14/24)</formula>
    </cfRule>
    <cfRule type="expression" dxfId="879" priority="222">
      <formula>AG$9&lt;8/24</formula>
    </cfRule>
  </conditionalFormatting>
  <conditionalFormatting sqref="AG91:AG92">
    <cfRule type="expression" dxfId="878" priority="214">
      <formula>AG91&gt;$AG91</formula>
    </cfRule>
  </conditionalFormatting>
  <conditionalFormatting sqref="AG96">
    <cfRule type="expression" dxfId="877" priority="215">
      <formula>AG$9&gt;=20/24</formula>
    </cfRule>
    <cfRule type="expression" dxfId="876" priority="216">
      <formula>AND(AG$9&gt;=14/24,AG$9&lt;20/24)</formula>
    </cfRule>
    <cfRule type="expression" dxfId="875" priority="217">
      <formula>AND(AG$9&gt;=8/24,AG$9&lt;14/24)</formula>
    </cfRule>
    <cfRule type="expression" dxfId="874" priority="218">
      <formula>AG$9&lt;8/24</formula>
    </cfRule>
  </conditionalFormatting>
  <conditionalFormatting sqref="AG113">
    <cfRule type="expression" dxfId="873" priority="236">
      <formula>AG$9&gt;=20/24</formula>
    </cfRule>
    <cfRule type="expression" dxfId="872" priority="237">
      <formula>AND(AG$9&gt;=14/24,AG$9&lt;20/24)</formula>
    </cfRule>
    <cfRule type="expression" dxfId="871" priority="238">
      <formula>AND(AG$9&gt;=8/24,AG$9&lt;14/24)</formula>
    </cfRule>
    <cfRule type="expression" dxfId="870" priority="239">
      <formula>AG$9&lt;8/24</formula>
    </cfRule>
  </conditionalFormatting>
  <conditionalFormatting sqref="AH8:AI10">
    <cfRule type="expression" dxfId="869" priority="127">
      <formula>AH$9&gt;=20/24</formula>
    </cfRule>
    <cfRule type="expression" dxfId="868" priority="128">
      <formula>AND(AH$9&gt;=14/24,AH$9&lt;20/24)</formula>
    </cfRule>
    <cfRule type="expression" dxfId="867" priority="129">
      <formula>AND(AH$9&gt;=8/24,AH$9&lt;14/24)</formula>
    </cfRule>
    <cfRule type="expression" dxfId="86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5" priority="257">
      <formula>AJ$9&gt;=20/24</formula>
    </cfRule>
    <cfRule type="expression" dxfId="864" priority="258">
      <formula>AND(AJ$9&gt;=14/24,AJ$9&lt;20/24)</formula>
    </cfRule>
    <cfRule type="expression" dxfId="863" priority="259">
      <formula>AND(AJ$9&gt;=8/24,AJ$9&lt;14/24)</formula>
    </cfRule>
    <cfRule type="expression" dxfId="862" priority="260">
      <formula>AJ$9&lt;8/24</formula>
    </cfRule>
  </conditionalFormatting>
  <conditionalFormatting sqref="AL99:AN99 AL105:AN105">
    <cfRule type="expression" dxfId="861" priority="229">
      <formula>AL$9&gt;=20/24</formula>
    </cfRule>
    <cfRule type="expression" dxfId="860" priority="230">
      <formula>AND(AL$9&gt;=14/24,AL$9&lt;20/24)</formula>
    </cfRule>
    <cfRule type="expression" dxfId="859" priority="231">
      <formula>AND(AL$9&gt;=8/24,AL$9&lt;14/24)</formula>
    </cfRule>
    <cfRule type="expression" dxfId="858" priority="232">
      <formula>AL$9&lt;8/24</formula>
    </cfRule>
  </conditionalFormatting>
  <conditionalFormatting sqref="AM15:AM21 AN16:AR21">
    <cfRule type="expression" dxfId="857" priority="153">
      <formula>AX$9&gt;=20/24</formula>
    </cfRule>
    <cfRule type="expression" dxfId="856" priority="154">
      <formula>AND(AX$9&gt;=14/24,AX$9&lt;20/24)</formula>
    </cfRule>
    <cfRule type="expression" dxfId="855" priority="155">
      <formula>AND(AX$9&gt;=8/24,AX$9&lt;14/24)</formula>
    </cfRule>
    <cfRule type="expression" dxfId="854" priority="156">
      <formula>AX$9&lt;8/24</formula>
    </cfRule>
  </conditionalFormatting>
  <conditionalFormatting sqref="AN100:AN103">
    <cfRule type="expression" dxfId="853" priority="225">
      <formula>AN$9&gt;=20/24</formula>
    </cfRule>
    <cfRule type="expression" dxfId="852" priority="226">
      <formula>AND(AN$9&gt;=14/24,AN$9&lt;20/24)</formula>
    </cfRule>
    <cfRule type="expression" dxfId="851" priority="227">
      <formula>AND(AN$9&gt;=8/24,AN$9&lt;14/24)</formula>
    </cfRule>
    <cfRule type="expression" dxfId="850" priority="228">
      <formula>AN$9&lt;8/24</formula>
    </cfRule>
  </conditionalFormatting>
  <conditionalFormatting sqref="AN15:AR15">
    <cfRule type="expression" dxfId="849" priority="141">
      <formula>U$9&gt;=20/24</formula>
    </cfRule>
    <cfRule type="expression" dxfId="848" priority="142">
      <formula>AND(U$9&gt;=14/24,U$9&lt;20/24)</formula>
    </cfRule>
    <cfRule type="expression" dxfId="847" priority="143">
      <formula>AND(U$9&gt;=8/24,U$9&lt;14/24)</formula>
    </cfRule>
    <cfRule type="expression" dxfId="846" priority="144">
      <formula>U$9&lt;8/24</formula>
    </cfRule>
  </conditionalFormatting>
  <conditionalFormatting sqref="AS15">
    <cfRule type="expression" dxfId="845" priority="149">
      <formula>AA$9&gt;=20/24</formula>
    </cfRule>
    <cfRule type="expression" dxfId="844" priority="150">
      <formula>AND(AA$9&gt;=14/24,AA$9&lt;20/24)</formula>
    </cfRule>
    <cfRule type="expression" dxfId="843" priority="151">
      <formula>AND(AA$9&gt;=8/24,AA$9&lt;14/24)</formula>
    </cfRule>
    <cfRule type="expression" dxfId="842" priority="152">
      <formula>AA$9&lt;8/24</formula>
    </cfRule>
  </conditionalFormatting>
  <conditionalFormatting sqref="AS16:AS21">
    <cfRule type="expression" dxfId="841" priority="157">
      <formula>BE$9&gt;=20/24</formula>
    </cfRule>
    <cfRule type="expression" dxfId="840" priority="158">
      <formula>AND(BE$9&gt;=14/24,BE$9&lt;20/24)</formula>
    </cfRule>
    <cfRule type="expression" dxfId="839" priority="159">
      <formula>AND(BE$9&gt;=8/24,BE$9&lt;14/24)</formula>
    </cfRule>
    <cfRule type="expression" dxfId="838" priority="160">
      <formula>BE$9&lt;8/24</formula>
    </cfRule>
  </conditionalFormatting>
  <conditionalFormatting sqref="AT15 AX15:BJ15">
    <cfRule type="expression" dxfId="837" priority="161">
      <formula>AC$9&gt;=20/24</formula>
    </cfRule>
    <cfRule type="expression" dxfId="836" priority="162">
      <formula>AND(AC$9&gt;=14/24,AC$9&lt;20/24)</formula>
    </cfRule>
    <cfRule type="expression" dxfId="835" priority="163">
      <formula>AND(AC$9&gt;=8/24,AC$9&lt;14/24)</formula>
    </cfRule>
    <cfRule type="expression" dxfId="834" priority="164">
      <formula>AC$9&lt;8/24</formula>
    </cfRule>
  </conditionalFormatting>
  <conditionalFormatting sqref="AT16:AT21">
    <cfRule type="expression" dxfId="833" priority="165">
      <formula>BG$9&gt;=20/24</formula>
    </cfRule>
    <cfRule type="expression" dxfId="832" priority="166">
      <formula>AND(BG$9&gt;=14/24,BG$9&lt;20/24)</formula>
    </cfRule>
    <cfRule type="expression" dxfId="831" priority="167">
      <formula>AND(BG$9&gt;=8/24,BG$9&lt;14/24)</formula>
    </cfRule>
    <cfRule type="expression" dxfId="830" priority="168">
      <formula>BG$9&lt;8/24</formula>
    </cfRule>
  </conditionalFormatting>
  <conditionalFormatting sqref="AU15:AV15">
    <cfRule type="expression" dxfId="829" priority="169">
      <formula>AE$9&gt;=20/24</formula>
    </cfRule>
    <cfRule type="expression" dxfId="828" priority="170">
      <formula>AND(AE$9&gt;=14/24,AE$9&lt;20/24)</formula>
    </cfRule>
    <cfRule type="expression" dxfId="827" priority="171">
      <formula>AND(AE$9&gt;=8/24,AE$9&lt;14/24)</formula>
    </cfRule>
    <cfRule type="expression" dxfId="826" priority="172">
      <formula>AE$9&lt;8/24</formula>
    </cfRule>
  </conditionalFormatting>
  <conditionalFormatting sqref="AU16:BJ21">
    <cfRule type="expression" dxfId="825" priority="173">
      <formula>BI$9&gt;=20/24</formula>
    </cfRule>
    <cfRule type="expression" dxfId="824" priority="174">
      <formula>AND(BI$9&gt;=14/24,BI$9&lt;20/24)</formula>
    </cfRule>
    <cfRule type="expression" dxfId="823" priority="175">
      <formula>AND(BI$9&gt;=8/24,BI$9&lt;14/24)</formula>
    </cfRule>
    <cfRule type="expression" dxfId="822" priority="176">
      <formula>BI$9&lt;8/24</formula>
    </cfRule>
  </conditionalFormatting>
  <conditionalFormatting sqref="AW15">
    <cfRule type="expression" dxfId="821" priority="145">
      <formula>B$9&gt;=20/24</formula>
    </cfRule>
    <cfRule type="expression" dxfId="820" priority="146">
      <formula>AND(B$9&gt;=14/24,B$9&lt;20/24)</formula>
    </cfRule>
    <cfRule type="expression" dxfId="819" priority="147">
      <formula>AND(B$9&gt;=8/24,B$9&lt;14/24)</formula>
    </cfRule>
    <cfRule type="expression" dxfId="818" priority="148">
      <formula>B$9&lt;8/24</formula>
    </cfRule>
  </conditionalFormatting>
  <conditionalFormatting sqref="A73">
    <cfRule type="expression" dxfId="817" priority="96">
      <formula>$AH73=0</formula>
    </cfRule>
  </conditionalFormatting>
  <conditionalFormatting sqref="B97:B107 B152 B109:B112 B125 B154:B159 B134">
    <cfRule type="expression" dxfId="816" priority="92">
      <formula>B$9&gt;=20/24</formula>
    </cfRule>
  </conditionalFormatting>
  <conditionalFormatting sqref="B97:B107 B152 B109:B112 B125 B154:B159 B134">
    <cfRule type="expression" dxfId="815" priority="93">
      <formula>AND(B$9&gt;=14/24,B$9&lt;20/24)</formula>
    </cfRule>
    <cfRule type="expression" dxfId="814" priority="94">
      <formula>AND(B$9&gt;=8/24,B$9&lt;14/24)</formula>
    </cfRule>
    <cfRule type="expression" dxfId="813" priority="95">
      <formula>B$9&lt;8/24</formula>
    </cfRule>
  </conditionalFormatting>
  <conditionalFormatting sqref="B161:B167">
    <cfRule type="expression" dxfId="812" priority="87">
      <formula>B$9&gt;=20/24</formula>
    </cfRule>
    <cfRule type="expression" dxfId="811" priority="88">
      <formula>AND(B$9&gt;=14/24,B$9&lt;20/24)</formula>
    </cfRule>
    <cfRule type="expression" dxfId="810" priority="89">
      <formula>AND(B$9&gt;=8/24,B$9&lt;14/24)</formula>
    </cfRule>
    <cfRule type="expression" dxfId="809" priority="90">
      <formula>B$9&lt;8/24</formula>
    </cfRule>
  </conditionalFormatting>
  <conditionalFormatting sqref="B169:B274">
    <cfRule type="expression" dxfId="808" priority="78">
      <formula>B$9&gt;=20/24</formula>
    </cfRule>
    <cfRule type="expression" dxfId="807" priority="79">
      <formula>AND(B$9&gt;=14/24,B$9&lt;20/24)</formula>
    </cfRule>
    <cfRule type="expression" dxfId="806" priority="80">
      <formula>AND(B$9&gt;=8/24,B$9&lt;14/24)</formula>
    </cfRule>
    <cfRule type="expression" dxfId="805" priority="81">
      <formula>B$9&lt;8/24</formula>
    </cfRule>
  </conditionalFormatting>
  <conditionalFormatting sqref="A153">
    <cfRule type="expression" dxfId="80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3" priority="73">
      <formula>AL$9&gt;=20/24</formula>
    </cfRule>
  </conditionalFormatting>
  <conditionalFormatting sqref="AL153">
    <cfRule type="expression" dxfId="802" priority="74">
      <formula>AND(AL$9&gt;=14/24,AL$9&lt;20/24)</formula>
    </cfRule>
    <cfRule type="expression" dxfId="801" priority="75">
      <formula>AND(AL$9&gt;=8/24,AL$9&lt;14/24)</formula>
    </cfRule>
    <cfRule type="expression" dxfId="800" priority="76">
      <formula>AL$9&lt;8/24</formula>
    </cfRule>
  </conditionalFormatting>
  <conditionalFormatting sqref="B11:Z13">
    <cfRule type="expression" dxfId="799" priority="69">
      <formula>B$9&gt;=20/24</formula>
    </cfRule>
  </conditionalFormatting>
  <conditionalFormatting sqref="B11:Z13">
    <cfRule type="expression" dxfId="798" priority="70">
      <formula>AND(B$9&gt;=14/24,B$9&lt;20/24)</formula>
    </cfRule>
    <cfRule type="expression" dxfId="797" priority="71">
      <formula>AND(B$9&gt;=8/24,B$9&lt;14/24)</formula>
    </cfRule>
    <cfRule type="expression" dxfId="796" priority="72">
      <formula>B$9&lt;8/24</formula>
    </cfRule>
  </conditionalFormatting>
  <conditionalFormatting sqref="B14:Z16">
    <cfRule type="expression" dxfId="795" priority="63">
      <formula>B14&gt;$AG14*1</formula>
    </cfRule>
    <cfRule type="expression" dxfId="794" priority="64">
      <formula>B$9&gt;=20/24</formula>
    </cfRule>
    <cfRule type="expression" dxfId="793" priority="65">
      <formula>AND(B$9&gt;=14/24,B$9&lt;20/24)</formula>
    </cfRule>
    <cfRule type="expression" dxfId="792" priority="66">
      <formula>AND(B$9&gt;=8/24,B$9&lt;14/24)</formula>
    </cfRule>
    <cfRule type="expression" dxfId="791" priority="67">
      <formula>B$9&lt;8/24</formula>
    </cfRule>
  </conditionalFormatting>
  <conditionalFormatting sqref="B11:Z13">
    <cfRule type="expression" dxfId="790" priority="68">
      <formula>B11&gt;$AG11*1</formula>
    </cfRule>
  </conditionalFormatting>
  <conditionalFormatting sqref="B17:Z53">
    <cfRule type="expression" dxfId="789" priority="55">
      <formula>B17&gt;$AG17*1</formula>
    </cfRule>
    <cfRule type="expression" dxfId="788" priority="56">
      <formula>B$9&gt;=20/24</formula>
    </cfRule>
    <cfRule type="expression" dxfId="787" priority="57">
      <formula>AND(B$9&gt;=14/24,B$9&lt;20/24)</formula>
    </cfRule>
    <cfRule type="expression" dxfId="786" priority="58">
      <formula>AND(B$9&gt;=8/24,B$9&lt;14/24)</formula>
    </cfRule>
    <cfRule type="expression" dxfId="785" priority="59">
      <formula>B$9&lt;8/24</formula>
    </cfRule>
  </conditionalFormatting>
  <conditionalFormatting sqref="B54:Z55">
    <cfRule type="expression" dxfId="784" priority="54">
      <formula>B$9&lt;8/24</formula>
    </cfRule>
  </conditionalFormatting>
  <conditionalFormatting sqref="B54:Z55 B69:Z70">
    <cfRule type="expression" dxfId="783" priority="51">
      <formula>B$9&gt;=20/24</formula>
    </cfRule>
    <cfRule type="expression" dxfId="782" priority="52">
      <formula>AND(B$9&gt;=14/24,B$9&lt;20/24)</formula>
    </cfRule>
    <cfRule type="expression" dxfId="781" priority="53">
      <formula>AND(B$9&gt;=8/24,B$9&lt;14/24)</formula>
    </cfRule>
  </conditionalFormatting>
  <conditionalFormatting sqref="B69:Z70">
    <cfRule type="expression" dxfId="780" priority="61">
      <formula>B$9&lt;8/24</formula>
    </cfRule>
  </conditionalFormatting>
  <conditionalFormatting sqref="B69:Z69">
    <cfRule type="expression" dxfId="779" priority="60">
      <formula>B69&gt;$AG69*1</formula>
    </cfRule>
  </conditionalFormatting>
  <conditionalFormatting sqref="B54:Z55 B69:Z70">
    <cfRule type="expression" dxfId="778" priority="62">
      <formula>B54&gt;$AG54</formula>
    </cfRule>
  </conditionalFormatting>
  <conditionalFormatting sqref="B56:Z68">
    <cfRule type="expression" dxfId="777" priority="48">
      <formula>B$9&lt;8/24</formula>
    </cfRule>
  </conditionalFormatting>
  <conditionalFormatting sqref="B56:Z68">
    <cfRule type="expression" dxfId="776" priority="45">
      <formula>B$9&gt;=20/24</formula>
    </cfRule>
    <cfRule type="expression" dxfId="775" priority="46">
      <formula>AND(B$9&gt;=14/24,B$9&lt;20/24)</formula>
    </cfRule>
    <cfRule type="expression" dxfId="774" priority="47">
      <formula>AND(B$9&gt;=8/24,B$9&lt;14/24)</formula>
    </cfRule>
  </conditionalFormatting>
  <conditionalFormatting sqref="B63:Z65">
    <cfRule type="expression" dxfId="773" priority="49">
      <formula>B63&gt;$AG63</formula>
    </cfRule>
  </conditionalFormatting>
  <conditionalFormatting sqref="B56:Z62 B66:Z68">
    <cfRule type="expression" dxfId="772" priority="50">
      <formula>B56&gt;$AG56</formula>
    </cfRule>
  </conditionalFormatting>
  <conditionalFormatting sqref="B76:Z77">
    <cfRule type="expression" dxfId="771" priority="37">
      <formula>B$9&gt;=20/24</formula>
    </cfRule>
  </conditionalFormatting>
  <conditionalFormatting sqref="B76:Z77">
    <cfRule type="expression" dxfId="770" priority="38">
      <formula>AND(B$9&gt;=14/24,B$9&lt;20/24)</formula>
    </cfRule>
    <cfRule type="expression" dxfId="769" priority="39">
      <formula>AND(B$9&gt;=8/24,B$9&lt;14/24)</formula>
    </cfRule>
    <cfRule type="expression" dxfId="768" priority="40">
      <formula>B$9&lt;8/24</formula>
    </cfRule>
  </conditionalFormatting>
  <conditionalFormatting sqref="B72:Z75">
    <cfRule type="expression" dxfId="767" priority="31">
      <formula>B72&gt;$AG72*1</formula>
    </cfRule>
  </conditionalFormatting>
  <conditionalFormatting sqref="B73:Z75">
    <cfRule type="expression" dxfId="766" priority="32">
      <formula>B$9&gt;=20/24</formula>
    </cfRule>
    <cfRule type="expression" dxfId="765" priority="33">
      <formula>AND(B$9&gt;=14/24,B$9&lt;20/24)</formula>
    </cfRule>
    <cfRule type="expression" dxfId="764" priority="34">
      <formula>AND(B$9&gt;=8/24,B$9&lt;14/24)</formula>
    </cfRule>
    <cfRule type="expression" dxfId="763" priority="35">
      <formula>B$9&lt;8/24</formula>
    </cfRule>
  </conditionalFormatting>
  <conditionalFormatting sqref="B76:Z77">
    <cfRule type="expression" dxfId="762" priority="36">
      <formula>B76&gt;$AG76*1</formula>
    </cfRule>
  </conditionalFormatting>
  <conditionalFormatting sqref="B72:Z72">
    <cfRule type="expression" dxfId="761" priority="41">
      <formula>B$9&gt;=20/24</formula>
    </cfRule>
    <cfRule type="expression" dxfId="760" priority="42">
      <formula>AND(B$9&gt;=14/24,B$9&lt;20/24)</formula>
    </cfRule>
    <cfRule type="expression" dxfId="759" priority="43">
      <formula>AND(B$9&gt;=8/24,B$9&lt;14/24)</formula>
    </cfRule>
    <cfRule type="expression" dxfId="758" priority="44">
      <formula>B$9&lt;8/24</formula>
    </cfRule>
  </conditionalFormatting>
  <conditionalFormatting sqref="B85:Z90">
    <cfRule type="expression" dxfId="757" priority="19">
      <formula>B$9&gt;=20/24</formula>
    </cfRule>
  </conditionalFormatting>
  <conditionalFormatting sqref="B85:Z90">
    <cfRule type="expression" dxfId="756" priority="20">
      <formula>AND(B$9&gt;=14/24,B$9&lt;20/24)</formula>
    </cfRule>
    <cfRule type="expression" dxfId="755" priority="21">
      <formula>AND(B$9&gt;=8/24,B$9&lt;14/24)</formula>
    </cfRule>
    <cfRule type="expression" dxfId="754" priority="22">
      <formula>B$9&lt;8/24</formula>
    </cfRule>
  </conditionalFormatting>
  <conditionalFormatting sqref="B79:Z90">
    <cfRule type="expression" dxfId="753" priority="18">
      <formula>B79&gt;$AG79*1</formula>
    </cfRule>
  </conditionalFormatting>
  <conditionalFormatting sqref="B84:Z84">
    <cfRule type="expression" dxfId="752" priority="23">
      <formula>B$9&gt;=20/24</formula>
    </cfRule>
    <cfRule type="expression" dxfId="751" priority="24">
      <formula>AND(B$9&gt;=14/24,B$9&lt;20/24)</formula>
    </cfRule>
    <cfRule type="expression" dxfId="750" priority="25">
      <formula>AND(B$9&gt;=8/24,B$9&lt;14/24)</formula>
    </cfRule>
    <cfRule type="expression" dxfId="749" priority="26">
      <formula>B$9&lt;8/24</formula>
    </cfRule>
  </conditionalFormatting>
  <conditionalFormatting sqref="B80:Z83">
    <cfRule type="expression" dxfId="748" priority="27">
      <formula>B$9&gt;=20/24</formula>
    </cfRule>
    <cfRule type="expression" dxfId="747" priority="28">
      <formula>AND(B$9&gt;=14/24,B$9&lt;20/24)</formula>
    </cfRule>
    <cfRule type="expression" dxfId="746" priority="29">
      <formula>AND(B$9&gt;=8/24,B$9&lt;14/24)</formula>
    </cfRule>
    <cfRule type="expression" dxfId="745" priority="30">
      <formula>B$9&lt;8/24</formula>
    </cfRule>
  </conditionalFormatting>
  <conditionalFormatting sqref="B79:Z84">
    <cfRule type="expression" dxfId="744" priority="14">
      <formula>B$9&gt;=20/24</formula>
    </cfRule>
    <cfRule type="expression" dxfId="743" priority="15">
      <formula>AND(B$9&gt;=14/24,B$9&lt;20/24)</formula>
    </cfRule>
    <cfRule type="expression" dxfId="742" priority="16">
      <formula>AND(B$9&gt;=8/24,B$9&lt;14/24)</formula>
    </cfRule>
    <cfRule type="expression" dxfId="741" priority="17">
      <formula>B$9&lt;8/24</formula>
    </cfRule>
  </conditionalFormatting>
  <conditionalFormatting sqref="B93:D95">
    <cfRule type="expression" dxfId="740" priority="10">
      <formula>B$9&gt;=20/24</formula>
    </cfRule>
  </conditionalFormatting>
  <conditionalFormatting sqref="B93:D95">
    <cfRule type="expression" dxfId="739" priority="11">
      <formula>AND(B$9&gt;=14/24,B$9&lt;20/24)</formula>
    </cfRule>
    <cfRule type="expression" dxfId="738" priority="12">
      <formula>AND(B$9&gt;=8/24,B$9&lt;14/24)</formula>
    </cfRule>
    <cfRule type="expression" dxfId="737" priority="13">
      <formula>B$9&lt;8/24</formula>
    </cfRule>
  </conditionalFormatting>
  <conditionalFormatting sqref="B93:D95">
    <cfRule type="expression" dxfId="736" priority="9">
      <formula>B93&gt;$AG93*1</formula>
    </cfRule>
  </conditionalFormatting>
  <conditionalFormatting sqref="B126:C133">
    <cfRule type="expression" dxfId="735" priority="5">
      <formula>B$9&gt;=20/24</formula>
    </cfRule>
  </conditionalFormatting>
  <conditionalFormatting sqref="B126:C133">
    <cfRule type="expression" dxfId="734" priority="6">
      <formula>AND(B$9&gt;=14/24,B$9&lt;20/24)</formula>
    </cfRule>
    <cfRule type="expression" dxfId="733" priority="7">
      <formula>AND(B$9&gt;=8/24,B$9&lt;14/24)</formula>
    </cfRule>
    <cfRule type="expression" dxfId="732" priority="8">
      <formula>B$9&lt;8/24</formula>
    </cfRule>
  </conditionalFormatting>
  <conditionalFormatting sqref="B137:C151">
    <cfRule type="expression" dxfId="731" priority="1">
      <formula>B$9&gt;=20/24</formula>
    </cfRule>
  </conditionalFormatting>
  <conditionalFormatting sqref="B137:C151">
    <cfRule type="expression" dxfId="730" priority="2">
      <formula>AND(B$9&gt;=14/24,B$9&lt;20/24)</formula>
    </cfRule>
    <cfRule type="expression" dxfId="729" priority="3">
      <formula>AND(B$9&gt;=8/24,B$9&lt;14/24)</formula>
    </cfRule>
    <cfRule type="expression" dxfId="72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Fill Time: 13.93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27" priority="25">
      <formula>$AH11=0</formula>
    </cfRule>
  </conditionalFormatting>
  <conditionalFormatting sqref="A101:A102">
    <cfRule type="expression" dxfId="726" priority="193">
      <formula>$AH106=0</formula>
    </cfRule>
  </conditionalFormatting>
  <conditionalFormatting sqref="A103:A107">
    <cfRule type="expression" dxfId="725" priority="141">
      <formula>$AH102=0</formula>
    </cfRule>
  </conditionalFormatting>
  <conditionalFormatting sqref="A160:A167">
    <cfRule type="expression" dxfId="724" priority="194">
      <formula>$AH267=0</formula>
    </cfRule>
  </conditionalFormatting>
  <conditionalFormatting sqref="A168:A275">
    <cfRule type="expression" dxfId="723" priority="64">
      <formula>$AH168=0</formula>
    </cfRule>
  </conditionalFormatting>
  <conditionalFormatting sqref="B8">
    <cfRule type="expression" dxfId="722" priority="189">
      <formula>AND(C$9&gt;=14/24,C$9&lt;20/24)</formula>
    </cfRule>
    <cfRule type="expression" dxfId="721" priority="190">
      <formula>AND(C$9&gt;=8/24,C$9&lt;14/24)</formula>
    </cfRule>
    <cfRule type="expression" dxfId="720" priority="191">
      <formula>C$9&lt;8/24</formula>
    </cfRule>
    <cfRule type="expression" dxfId="71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17" priority="107">
      <formula>AND(B$9&gt;=14/24,B$9&lt;20/24)</formula>
    </cfRule>
    <cfRule type="expression" dxfId="716" priority="108">
      <formula>AND(B$9&gt;=8/24,B$9&lt;14/24)</formula>
    </cfRule>
    <cfRule type="expression" dxfId="715" priority="109">
      <formula>B$9&lt;8/24</formula>
    </cfRule>
  </conditionalFormatting>
  <conditionalFormatting sqref="B29:Y53 Z14:AF53">
    <cfRule type="expression" dxfId="714" priority="49">
      <formula>B14&gt;$AG14*1</formula>
    </cfRule>
    <cfRule type="expression" dxfId="713" priority="50">
      <formula>B$9&gt;=20/24</formula>
    </cfRule>
    <cfRule type="expression" dxfId="712" priority="51">
      <formula>AND(B$9&gt;=14/24,B$9&lt;20/24)</formula>
    </cfRule>
    <cfRule type="expression" dxfId="711" priority="52">
      <formula>AND(B$9&gt;=8/24,B$9&lt;14/24)</formula>
    </cfRule>
    <cfRule type="expression" dxfId="710" priority="53">
      <formula>B$9&lt;8/24</formula>
    </cfRule>
  </conditionalFormatting>
  <conditionalFormatting sqref="B54:AF68">
    <cfRule type="expression" dxfId="709" priority="42">
      <formula>B$9&lt;8/24</formula>
    </cfRule>
  </conditionalFormatting>
  <conditionalFormatting sqref="B54:AF70">
    <cfRule type="expression" dxfId="708" priority="39">
      <formula>B$9&gt;=20/24</formula>
    </cfRule>
    <cfRule type="expression" dxfId="707" priority="40">
      <formula>AND(B$9&gt;=14/24,B$9&lt;20/24)</formula>
    </cfRule>
    <cfRule type="expression" dxfId="706" priority="41">
      <formula>AND(B$9&gt;=8/24,B$9&lt;14/24)</formula>
    </cfRule>
  </conditionalFormatting>
  <conditionalFormatting sqref="B63:AF65">
    <cfRule type="expression" dxfId="705" priority="43">
      <formula>B63&gt;$AG63</formula>
    </cfRule>
  </conditionalFormatting>
  <conditionalFormatting sqref="B69:AF70">
    <cfRule type="expression" dxfId="704" priority="114">
      <formula>B$9&lt;8/24</formula>
    </cfRule>
  </conditionalFormatting>
  <conditionalFormatting sqref="B72:AF75">
    <cfRule type="expression" dxfId="703" priority="30">
      <formula>B72&gt;$AG72*1</formula>
    </cfRule>
  </conditionalFormatting>
  <conditionalFormatting sqref="B73:AF75">
    <cfRule type="expression" dxfId="702" priority="31">
      <formula>B$9&gt;=20/24</formula>
    </cfRule>
    <cfRule type="expression" dxfId="701" priority="32">
      <formula>AND(B$9&gt;=14/24,B$9&lt;20/24)</formula>
    </cfRule>
    <cfRule type="expression" dxfId="700" priority="33">
      <formula>AND(B$9&gt;=8/24,B$9&lt;14/24)</formula>
    </cfRule>
    <cfRule type="expression" dxfId="699" priority="34">
      <formula>B$9&lt;8/24</formula>
    </cfRule>
  </conditionalFormatting>
  <conditionalFormatting sqref="C161:AF167">
    <cfRule type="expression" dxfId="698" priority="65">
      <formula>C$9&gt;=20/24</formula>
    </cfRule>
    <cfRule type="expression" dxfId="697" priority="66">
      <formula>AND(C$9&gt;=14/24,C$9&lt;20/24)</formula>
    </cfRule>
    <cfRule type="expression" dxfId="696" priority="67">
      <formula>AND(C$9&gt;=8/24,C$9&lt;14/24)</formula>
    </cfRule>
    <cfRule type="expression" dxfId="695" priority="68">
      <formula>C$9&lt;8/24</formula>
    </cfRule>
  </conditionalFormatting>
  <conditionalFormatting sqref="C169:AF274">
    <cfRule type="expression" dxfId="694" priority="26">
      <formula>C$9&gt;=20/24</formula>
    </cfRule>
    <cfRule type="expression" dxfId="693" priority="27">
      <formula>AND(C$9&gt;=14/24,C$9&lt;20/24)</formula>
    </cfRule>
    <cfRule type="expression" dxfId="692" priority="28">
      <formula>AND(C$9&gt;=8/24,C$9&lt;14/24)</formula>
    </cfRule>
    <cfRule type="expression" dxfId="691" priority="29">
      <formula>C$9&lt;8/24</formula>
    </cfRule>
  </conditionalFormatting>
  <conditionalFormatting sqref="AA70 AG96 B71:AA71 B69:AA69 AG78 AG71 AB69:AF71 B76:AF96 Z11:AF13">
    <cfRule type="expression" dxfId="690" priority="105">
      <formula>B11&gt;$AG11*1</formula>
    </cfRule>
  </conditionalFormatting>
  <conditionalFormatting sqref="F79:Y83">
    <cfRule type="expression" dxfId="689" priority="115">
      <formula>F$9&gt;=20/24</formula>
    </cfRule>
    <cfRule type="expression" dxfId="688" priority="116">
      <formula>AND(F$9&gt;=14/24,F$9&lt;20/24)</formula>
    </cfRule>
    <cfRule type="expression" dxfId="687" priority="117">
      <formula>AND(F$9&gt;=8/24,F$9&lt;14/24)</formula>
    </cfRule>
    <cfRule type="expression" dxfId="686" priority="118">
      <formula>F$9&lt;8/24</formula>
    </cfRule>
  </conditionalFormatting>
  <conditionalFormatting sqref="F84:Y84">
    <cfRule type="expression" dxfId="685" priority="110">
      <formula>F$9&gt;=20/24</formula>
    </cfRule>
    <cfRule type="expression" dxfId="684" priority="111">
      <formula>AND(F$9&gt;=14/24,F$9&lt;20/24)</formula>
    </cfRule>
    <cfRule type="expression" dxfId="683" priority="112">
      <formula>AND(F$9&gt;=8/24,F$9&lt;14/24)</formula>
    </cfRule>
    <cfRule type="expression" dxfId="682" priority="113">
      <formula>F$9&lt;8/24</formula>
    </cfRule>
  </conditionalFormatting>
  <conditionalFormatting sqref="F78:AC78 Z76:AC77 B72:AF72 AD76:AF78">
    <cfRule type="expression" dxfId="681" priority="125">
      <formula>B$9&gt;=20/24</formula>
    </cfRule>
    <cfRule type="expression" dxfId="680" priority="126">
      <formula>AND(B$9&gt;=14/24,B$9&lt;20/24)</formula>
    </cfRule>
    <cfRule type="expression" dxfId="679" priority="127">
      <formula>AND(B$9&gt;=8/24,B$9&lt;14/24)</formula>
    </cfRule>
    <cfRule type="expression" dxfId="678" priority="128">
      <formula>B$9&lt;8/24</formula>
    </cfRule>
  </conditionalFormatting>
  <conditionalFormatting sqref="Z73:AF75">
    <cfRule type="expression" dxfId="677" priority="35">
      <formula>Z$9&gt;=20/24</formula>
    </cfRule>
    <cfRule type="expression" dxfId="676" priority="36">
      <formula>AND(Z$9&gt;=14/24,Z$9&lt;20/24)</formula>
    </cfRule>
    <cfRule type="expression" dxfId="675" priority="37">
      <formula>AND(Z$9&gt;=8/24,Z$9&lt;14/24)</formula>
    </cfRule>
    <cfRule type="expression" dxfId="674" priority="38">
      <formula>Z$9&lt;8/24</formula>
    </cfRule>
  </conditionalFormatting>
  <conditionalFormatting sqref="F79:Y81">
    <cfRule type="expression" dxfId="673" priority="133">
      <formula>F$9&gt;=20/24</formula>
    </cfRule>
    <cfRule type="expression" dxfId="672" priority="134">
      <formula>AND(F$9&gt;=14/24,F$9&lt;20/24)</formula>
    </cfRule>
    <cfRule type="expression" dxfId="671" priority="135">
      <formula>AND(F$9&gt;=8/24,F$9&lt;14/24)</formula>
    </cfRule>
    <cfRule type="expression" dxfId="670" priority="136">
      <formula>F$9&lt;8/24</formula>
    </cfRule>
  </conditionalFormatting>
  <conditionalFormatting sqref="L84:AF84">
    <cfRule type="expression" dxfId="669" priority="129">
      <formula>L$9&gt;=20/24</formula>
    </cfRule>
    <cfRule type="expression" dxfId="668" priority="130">
      <formula>AND(L$9&gt;=14/24,L$9&lt;20/24)</formula>
    </cfRule>
    <cfRule type="expression" dxfId="667" priority="131">
      <formula>AND(L$9&gt;=8/24,L$9&lt;14/24)</formula>
    </cfRule>
    <cfRule type="expression" dxfId="666" priority="132">
      <formula>L$9&lt;8/24</formula>
    </cfRule>
  </conditionalFormatting>
  <conditionalFormatting sqref="M8 S8 AB8">
    <cfRule type="expression" dxfId="665" priority="182">
      <formula>AND(N$9&gt;=14/24,N$9&lt;20/24)</formula>
    </cfRule>
    <cfRule type="expression" dxfId="664" priority="183">
      <formula>AND(N$9&gt;=8/24,N$9&lt;14/24)</formula>
    </cfRule>
    <cfRule type="expression" dxfId="663" priority="184">
      <formula>N$9&lt;8/24</formula>
    </cfRule>
  </conditionalFormatting>
  <conditionalFormatting sqref="R79:Y83 Z80:AF83">
    <cfRule type="expression" dxfId="662" priority="137">
      <formula>R$9&gt;=20/24</formula>
    </cfRule>
    <cfRule type="expression" dxfId="661" priority="138">
      <formula>AND(R$9&gt;=14/24,R$9&lt;20/24)</formula>
    </cfRule>
    <cfRule type="expression" dxfId="660" priority="139">
      <formula>AND(R$9&gt;=8/24,R$9&lt;14/24)</formula>
    </cfRule>
    <cfRule type="expression" dxfId="65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58" priority="181">
      <formula>N$9&gt;=20/24</formula>
    </cfRule>
  </conditionalFormatting>
  <conditionalFormatting sqref="S8">
    <cfRule type="expression" dxfId="657" priority="172">
      <formula>U$9&gt;=20/24</formula>
    </cfRule>
    <cfRule type="expression" dxfId="656" priority="173">
      <formula>AND(U$9&gt;=14/24,U$9&lt;20/24)</formula>
    </cfRule>
    <cfRule type="expression" dxfId="655" priority="174">
      <formula>AND(U$9&gt;=8/24,U$9&lt;14/24)</formula>
    </cfRule>
    <cfRule type="expression" dxfId="654" priority="175">
      <formula>U$9&lt;8/24</formula>
    </cfRule>
  </conditionalFormatting>
  <conditionalFormatting sqref="Z79:AF84">
    <cfRule type="expression" dxfId="653" priority="59">
      <formula>Z$9&gt;=20/24</formula>
    </cfRule>
    <cfRule type="expression" dxfId="652" priority="60">
      <formula>AND(Z$9&gt;=14/24,Z$9&lt;20/24)</formula>
    </cfRule>
    <cfRule type="expression" dxfId="651" priority="61">
      <formula>AND(Z$9&gt;=8/24,Z$9&lt;14/24)</formula>
    </cfRule>
    <cfRule type="expression" dxfId="65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49" priority="44">
      <formula>Z$9&gt;=20/24</formula>
    </cfRule>
    <cfRule type="expression" dxfId="648" priority="45">
      <formula>AND(Z$9&gt;=14/24,Z$9&lt;20/24)</formula>
    </cfRule>
    <cfRule type="expression" dxfId="647" priority="46">
      <formula>AND(Z$9&gt;=8/24,Z$9&lt;14/24)</formula>
    </cfRule>
    <cfRule type="expression" dxfId="646" priority="47">
      <formula>Z$9&lt;8/24</formula>
    </cfRule>
  </conditionalFormatting>
  <conditionalFormatting sqref="Z69:Z70">
    <cfRule type="expression" dxfId="645" priority="124">
      <formula>Z69&gt;$AG69</formula>
    </cfRule>
  </conditionalFormatting>
  <conditionalFormatting sqref="B66:Y70 B54:AF62 Z66:AF69">
    <cfRule type="expression" dxfId="644" priority="119">
      <formula>B54&gt;$AG54</formula>
    </cfRule>
  </conditionalFormatting>
  <conditionalFormatting sqref="AB8">
    <cfRule type="expression" dxfId="643" priority="168">
      <formula>AD$9&gt;=20/24</formula>
    </cfRule>
    <cfRule type="expression" dxfId="642" priority="169">
      <formula>AND(AD$9&gt;=14/24,AD$9&lt;20/24)</formula>
    </cfRule>
    <cfRule type="expression" dxfId="641" priority="170">
      <formula>AND(AD$9&gt;=8/24,AD$9&lt;14/24)</formula>
    </cfRule>
    <cfRule type="expression" dxfId="640" priority="171">
      <formula>AD$9&lt;8/24</formula>
    </cfRule>
  </conditionalFormatting>
  <conditionalFormatting sqref="AG78">
    <cfRule type="expression" dxfId="634" priority="147">
      <formula>AG$9&gt;=20/24</formula>
    </cfRule>
    <cfRule type="expression" dxfId="633" priority="148">
      <formula>AND(AG$9&gt;=14/24,AG$9&lt;20/24)</formula>
    </cfRule>
    <cfRule type="expression" dxfId="632" priority="149">
      <formula>AND(AG$9&gt;=8/24,AG$9&lt;14/24)</formula>
    </cfRule>
    <cfRule type="expression" dxfId="631" priority="150">
      <formula>AG$9&lt;8/24</formula>
    </cfRule>
  </conditionalFormatting>
  <conditionalFormatting sqref="AG91:AG92">
    <cfRule type="expression" dxfId="630" priority="142">
      <formula>AG91&gt;$AG91</formula>
    </cfRule>
  </conditionalFormatting>
  <conditionalFormatting sqref="AG96">
    <cfRule type="expression" dxfId="629" priority="143">
      <formula>AG$9&gt;=20/24</formula>
    </cfRule>
    <cfRule type="expression" dxfId="628" priority="144">
      <formula>AND(AG$9&gt;=14/24,AG$9&lt;20/24)</formula>
    </cfRule>
    <cfRule type="expression" dxfId="627" priority="145">
      <formula>AND(AG$9&gt;=8/24,AG$9&lt;14/24)</formula>
    </cfRule>
    <cfRule type="expression" dxfId="626" priority="146">
      <formula>AG$9&lt;8/24</formula>
    </cfRule>
  </conditionalFormatting>
  <conditionalFormatting sqref="AG113">
    <cfRule type="expression" dxfId="625" priority="164">
      <formula>AG$9&gt;=20/24</formula>
    </cfRule>
    <cfRule type="expression" dxfId="624" priority="165">
      <formula>AND(AG$9&gt;=14/24,AG$9&lt;20/24)</formula>
    </cfRule>
    <cfRule type="expression" dxfId="623" priority="166">
      <formula>AND(AG$9&gt;=8/24,AG$9&lt;14/24)</formula>
    </cfRule>
    <cfRule type="expression" dxfId="622" priority="167">
      <formula>AG$9&lt;8/24</formula>
    </cfRule>
  </conditionalFormatting>
  <conditionalFormatting sqref="AH8:AI10">
    <cfRule type="expression" dxfId="621" priority="55">
      <formula>AH$9&gt;=20/24</formula>
    </cfRule>
    <cfRule type="expression" dxfId="620" priority="56">
      <formula>AND(AH$9&gt;=14/24,AH$9&lt;20/24)</formula>
    </cfRule>
    <cfRule type="expression" dxfId="619" priority="57">
      <formula>AND(AH$9&gt;=8/24,AH$9&lt;14/24)</formula>
    </cfRule>
    <cfRule type="expression" dxfId="61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7" priority="185">
      <formula>AJ$9&gt;=20/24</formula>
    </cfRule>
    <cfRule type="expression" dxfId="616" priority="186">
      <formula>AND(AJ$9&gt;=14/24,AJ$9&lt;20/24)</formula>
    </cfRule>
    <cfRule type="expression" dxfId="615" priority="187">
      <formula>AND(AJ$9&gt;=8/24,AJ$9&lt;14/24)</formula>
    </cfRule>
    <cfRule type="expression" dxfId="614" priority="188">
      <formula>AJ$9&lt;8/24</formula>
    </cfRule>
  </conditionalFormatting>
  <conditionalFormatting sqref="AL99:AN99 AL105:AN105">
    <cfRule type="expression" dxfId="613" priority="157">
      <formula>AL$9&gt;=20/24</formula>
    </cfRule>
    <cfRule type="expression" dxfId="612" priority="158">
      <formula>AND(AL$9&gt;=14/24,AL$9&lt;20/24)</formula>
    </cfRule>
    <cfRule type="expression" dxfId="611" priority="159">
      <formula>AND(AL$9&gt;=8/24,AL$9&lt;14/24)</formula>
    </cfRule>
    <cfRule type="expression" dxfId="610" priority="160">
      <formula>AL$9&lt;8/24</formula>
    </cfRule>
  </conditionalFormatting>
  <conditionalFormatting sqref="AM15:AM21 AN16:AR21">
    <cfRule type="expression" dxfId="609" priority="81">
      <formula>AX$9&gt;=20/24</formula>
    </cfRule>
    <cfRule type="expression" dxfId="608" priority="82">
      <formula>AND(AX$9&gt;=14/24,AX$9&lt;20/24)</formula>
    </cfRule>
    <cfRule type="expression" dxfId="607" priority="83">
      <formula>AND(AX$9&gt;=8/24,AX$9&lt;14/24)</formula>
    </cfRule>
    <cfRule type="expression" dxfId="606" priority="84">
      <formula>AX$9&lt;8/24</formula>
    </cfRule>
  </conditionalFormatting>
  <conditionalFormatting sqref="AN100:AN103">
    <cfRule type="expression" dxfId="605" priority="153">
      <formula>AN$9&gt;=20/24</formula>
    </cfRule>
    <cfRule type="expression" dxfId="604" priority="154">
      <formula>AND(AN$9&gt;=14/24,AN$9&lt;20/24)</formula>
    </cfRule>
    <cfRule type="expression" dxfId="603" priority="155">
      <formula>AND(AN$9&gt;=8/24,AN$9&lt;14/24)</formula>
    </cfRule>
    <cfRule type="expression" dxfId="602" priority="156">
      <formula>AN$9&lt;8/24</formula>
    </cfRule>
  </conditionalFormatting>
  <conditionalFormatting sqref="AN15:AR15">
    <cfRule type="expression" dxfId="601" priority="69">
      <formula>U$9&gt;=20/24</formula>
    </cfRule>
    <cfRule type="expression" dxfId="600" priority="70">
      <formula>AND(U$9&gt;=14/24,U$9&lt;20/24)</formula>
    </cfRule>
    <cfRule type="expression" dxfId="599" priority="71">
      <formula>AND(U$9&gt;=8/24,U$9&lt;14/24)</formula>
    </cfRule>
    <cfRule type="expression" dxfId="598" priority="72">
      <formula>U$9&lt;8/24</formula>
    </cfRule>
  </conditionalFormatting>
  <conditionalFormatting sqref="AS15">
    <cfRule type="expression" dxfId="597" priority="77">
      <formula>AA$9&gt;=20/24</formula>
    </cfRule>
    <cfRule type="expression" dxfId="596" priority="78">
      <formula>AND(AA$9&gt;=14/24,AA$9&lt;20/24)</formula>
    </cfRule>
    <cfRule type="expression" dxfId="595" priority="79">
      <formula>AND(AA$9&gt;=8/24,AA$9&lt;14/24)</formula>
    </cfRule>
    <cfRule type="expression" dxfId="594" priority="80">
      <formula>AA$9&lt;8/24</formula>
    </cfRule>
  </conditionalFormatting>
  <conditionalFormatting sqref="AS16:AS21">
    <cfRule type="expression" dxfId="593" priority="85">
      <formula>BE$9&gt;=20/24</formula>
    </cfRule>
    <cfRule type="expression" dxfId="592" priority="86">
      <formula>AND(BE$9&gt;=14/24,BE$9&lt;20/24)</formula>
    </cfRule>
    <cfRule type="expression" dxfId="591" priority="87">
      <formula>AND(BE$9&gt;=8/24,BE$9&lt;14/24)</formula>
    </cfRule>
    <cfRule type="expression" dxfId="590" priority="88">
      <formula>BE$9&lt;8/24</formula>
    </cfRule>
  </conditionalFormatting>
  <conditionalFormatting sqref="AT15 AX15:BJ15">
    <cfRule type="expression" dxfId="589" priority="89">
      <formula>AC$9&gt;=20/24</formula>
    </cfRule>
    <cfRule type="expression" dxfId="588" priority="90">
      <formula>AND(AC$9&gt;=14/24,AC$9&lt;20/24)</formula>
    </cfRule>
    <cfRule type="expression" dxfId="587" priority="91">
      <formula>AND(AC$9&gt;=8/24,AC$9&lt;14/24)</formula>
    </cfRule>
    <cfRule type="expression" dxfId="586" priority="92">
      <formula>AC$9&lt;8/24</formula>
    </cfRule>
  </conditionalFormatting>
  <conditionalFormatting sqref="AT16:AT21">
    <cfRule type="expression" dxfId="585" priority="93">
      <formula>BG$9&gt;=20/24</formula>
    </cfRule>
    <cfRule type="expression" dxfId="584" priority="94">
      <formula>AND(BG$9&gt;=14/24,BG$9&lt;20/24)</formula>
    </cfRule>
    <cfRule type="expression" dxfId="583" priority="95">
      <formula>AND(BG$9&gt;=8/24,BG$9&lt;14/24)</formula>
    </cfRule>
    <cfRule type="expression" dxfId="582" priority="96">
      <formula>BG$9&lt;8/24</formula>
    </cfRule>
  </conditionalFormatting>
  <conditionalFormatting sqref="AU15:AV15">
    <cfRule type="expression" dxfId="581" priority="97">
      <formula>AE$9&gt;=20/24</formula>
    </cfRule>
    <cfRule type="expression" dxfId="580" priority="98">
      <formula>AND(AE$9&gt;=14/24,AE$9&lt;20/24)</formula>
    </cfRule>
    <cfRule type="expression" dxfId="579" priority="99">
      <formula>AND(AE$9&gt;=8/24,AE$9&lt;14/24)</formula>
    </cfRule>
    <cfRule type="expression" dxfId="578" priority="100">
      <formula>AE$9&lt;8/24</formula>
    </cfRule>
  </conditionalFormatting>
  <conditionalFormatting sqref="AU16:BJ21">
    <cfRule type="expression" dxfId="577" priority="101">
      <formula>BI$9&gt;=20/24</formula>
    </cfRule>
    <cfRule type="expression" dxfId="576" priority="102">
      <formula>AND(BI$9&gt;=14/24,BI$9&lt;20/24)</formula>
    </cfRule>
    <cfRule type="expression" dxfId="575" priority="103">
      <formula>AND(BI$9&gt;=8/24,BI$9&lt;14/24)</formula>
    </cfRule>
    <cfRule type="expression" dxfId="574" priority="104">
      <formula>BI$9&lt;8/24</formula>
    </cfRule>
  </conditionalFormatting>
  <conditionalFormatting sqref="AW15">
    <cfRule type="expression" dxfId="573" priority="73">
      <formula>B$9&gt;=20/24</formula>
    </cfRule>
    <cfRule type="expression" dxfId="572" priority="74">
      <formula>AND(B$9&gt;=14/24,B$9&lt;20/24)</formula>
    </cfRule>
    <cfRule type="expression" dxfId="571" priority="75">
      <formula>AND(B$9&gt;=8/24,B$9&lt;14/24)</formula>
    </cfRule>
    <cfRule type="expression" dxfId="570" priority="76">
      <formula>B$9&lt;8/24</formula>
    </cfRule>
  </conditionalFormatting>
  <conditionalFormatting sqref="A73">
    <cfRule type="expression" dxfId="569" priority="24">
      <formula>$AH73=0</formula>
    </cfRule>
  </conditionalFormatting>
  <conditionalFormatting sqref="B97:B107 B137:B152 B109:B112 B125:B134 B154:B159 C137:E151 C126:Q133 B11:Y13">
    <cfRule type="expression" dxfId="568" priority="20">
      <formula>B$9&gt;=20/24</formula>
    </cfRule>
  </conditionalFormatting>
  <conditionalFormatting sqref="B97:B107 B137:B152 B109:B112 B125:B134 B154:B159 C137:E151 C126:Q133 B11:Y13">
    <cfRule type="expression" dxfId="567" priority="21">
      <formula>AND(B$9&gt;=14/24,B$9&lt;20/24)</formula>
    </cfRule>
    <cfRule type="expression" dxfId="566" priority="22">
      <formula>AND(B$9&gt;=8/24,B$9&lt;14/24)</formula>
    </cfRule>
    <cfRule type="expression" dxfId="565" priority="23">
      <formula>B$9&lt;8/24</formula>
    </cfRule>
  </conditionalFormatting>
  <conditionalFormatting sqref="B14:Y28">
    <cfRule type="expression" dxfId="564" priority="10">
      <formula>B14&gt;$AG14*1</formula>
    </cfRule>
    <cfRule type="expression" dxfId="563" priority="11">
      <formula>B$9&gt;=20/24</formula>
    </cfRule>
    <cfRule type="expression" dxfId="562" priority="12">
      <formula>AND(B$9&gt;=14/24,B$9&lt;20/24)</formula>
    </cfRule>
    <cfRule type="expression" dxfId="561" priority="13">
      <formula>AND(B$9&gt;=8/24,B$9&lt;14/24)</formula>
    </cfRule>
    <cfRule type="expression" dxfId="560" priority="14">
      <formula>B$9&lt;8/24</formula>
    </cfRule>
  </conditionalFormatting>
  <conditionalFormatting sqref="B161:B167">
    <cfRule type="expression" dxfId="559" priority="15">
      <formula>B$9&gt;=20/24</formula>
    </cfRule>
    <cfRule type="expression" dxfId="558" priority="16">
      <formula>AND(B$9&gt;=14/24,B$9&lt;20/24)</formula>
    </cfRule>
    <cfRule type="expression" dxfId="557" priority="17">
      <formula>AND(B$9&gt;=8/24,B$9&lt;14/24)</formula>
    </cfRule>
    <cfRule type="expression" dxfId="556" priority="18">
      <formula>B$9&lt;8/24</formula>
    </cfRule>
  </conditionalFormatting>
  <conditionalFormatting sqref="B169:B274">
    <cfRule type="expression" dxfId="555" priority="6">
      <formula>B$9&gt;=20/24</formula>
    </cfRule>
    <cfRule type="expression" dxfId="554" priority="7">
      <formula>AND(B$9&gt;=14/24,B$9&lt;20/24)</formula>
    </cfRule>
    <cfRule type="expression" dxfId="553" priority="8">
      <formula>AND(B$9&gt;=8/24,B$9&lt;14/24)</formula>
    </cfRule>
    <cfRule type="expression" dxfId="552" priority="9">
      <formula>B$9&lt;8/24</formula>
    </cfRule>
  </conditionalFormatting>
  <conditionalFormatting sqref="B11:Y13">
    <cfRule type="expression" dxfId="551" priority="19">
      <formula>B11&gt;$AG11*1</formula>
    </cfRule>
  </conditionalFormatting>
  <conditionalFormatting sqref="A153">
    <cfRule type="expression" dxfId="55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9" priority="1">
      <formula>AL$9&gt;=20/24</formula>
    </cfRule>
  </conditionalFormatting>
  <conditionalFormatting sqref="AL153">
    <cfRule type="expression" dxfId="548" priority="2">
      <formula>AND(AL$9&gt;=14/24,AL$9&lt;20/24)</formula>
    </cfRule>
    <cfRule type="expression" dxfId="547" priority="3">
      <formula>AND(AL$9&gt;=8/24,AL$9&lt;14/24)</formula>
    </cfRule>
    <cfRule type="expression" dxfId="54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G97" sqref="G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AF53">
    <cfRule type="expression" dxfId="532" priority="49">
      <formula>B29&gt;$AG29*1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G78 AG96 B71:AG71 B69:AF69 B76:AF96">
    <cfRule type="expression" dxfId="508" priority="105">
      <formula>B69&gt;$AG69*1</formula>
    </cfRule>
  </conditionalFormatting>
  <conditionalFormatting sqref="G79:AF83">
    <cfRule type="expression" dxfId="507" priority="115">
      <formula>G$9&gt;=20/24</formula>
    </cfRule>
    <cfRule type="expression" dxfId="506" priority="116">
      <formula>AND(G$9&gt;=14/24,G$9&lt;20/24)</formula>
    </cfRule>
    <cfRule type="expression" dxfId="505" priority="117">
      <formula>AND(G$9&gt;=8/24,G$9&lt;14/24)</formula>
    </cfRule>
    <cfRule type="expression" dxfId="504" priority="118">
      <formula>G$9&lt;8/24</formula>
    </cfRule>
  </conditionalFormatting>
  <conditionalFormatting sqref="G84:AF84">
    <cfRule type="expression" dxfId="503" priority="110">
      <formula>G$9&gt;=20/24</formula>
    </cfRule>
    <cfRule type="expression" dxfId="502" priority="111">
      <formula>AND(G$9&gt;=14/24,G$9&lt;20/24)</formula>
    </cfRule>
    <cfRule type="expression" dxfId="501" priority="112">
      <formula>AND(G$9&gt;=8/24,G$9&lt;14/24)</formula>
    </cfRule>
    <cfRule type="expression" dxfId="500" priority="113">
      <formula>G$9&lt;8/24</formula>
    </cfRule>
  </conditionalFormatting>
  <conditionalFormatting sqref="G78:AF78 B72:AF72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G79:AF81">
    <cfRule type="expression" dxfId="491" priority="133">
      <formula>G$9&gt;=20/24</formula>
    </cfRule>
    <cfRule type="expression" dxfId="490" priority="134">
      <formula>AND(G$9&gt;=14/24,G$9&lt;20/24)</formula>
    </cfRule>
    <cfRule type="expression" dxfId="489" priority="135">
      <formula>AND(G$9&gt;=8/24,G$9&lt;14/24)</formula>
    </cfRule>
    <cfRule type="expression" dxfId="488" priority="136">
      <formula>G$9&lt;8/24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Y79:AF83">
    <cfRule type="expression" dxfId="480" priority="137">
      <formula>Y$9&gt;=20/24</formula>
    </cfRule>
    <cfRule type="expression" dxfId="479" priority="138">
      <formula>AND(Y$9&gt;=14/24,Y$9&lt;20/24)</formula>
    </cfRule>
    <cfRule type="expression" dxfId="478" priority="139">
      <formula>AND(Y$9&gt;=8/24,Y$9&lt;14/24)</formula>
    </cfRule>
    <cfRule type="expression" dxfId="47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Y79:AF84">
    <cfRule type="expression" dxfId="471" priority="59">
      <formula>Y$9&gt;=20/24</formula>
    </cfRule>
    <cfRule type="expression" dxfId="470" priority="60">
      <formula>AND(Y$9&gt;=14/24,Y$9&lt;20/24)</formula>
    </cfRule>
    <cfRule type="expression" dxfId="469" priority="61">
      <formula>AND(Y$9&gt;=8/24,Y$9&lt;14/24)</formula>
    </cfRule>
    <cfRule type="expression" dxfId="46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137:B152 B154:B159 B97:F107 C137:F151 B109:F112 B125:F134 G131:R133 B11:AF13">
    <cfRule type="expression" dxfId="386" priority="20">
      <formula>B$9&gt;=20/24</formula>
    </cfRule>
  </conditionalFormatting>
  <conditionalFormatting sqref="B137:B152 B154:B159 B97:F107 C137:F151 B109:F112 B125:F134 G131:R133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B12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J152" sqref="J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1707.6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27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67.7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34.299999999999997</v>
      </c>
      <c r="AI14" s="47">
        <f t="shared" si="3"/>
        <v>34.299999999999997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54.8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40.6</v>
      </c>
      <c r="AI16" s="47">
        <f t="shared" si="3"/>
        <v>40.6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35.799999999999997</v>
      </c>
      <c r="AI17" s="47">
        <f t="shared" si="3"/>
        <v>35.799999999999997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17.2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35.200000000000003</v>
      </c>
      <c r="AI22" s="47">
        <f t="shared" si="3"/>
        <v>35.200000000000003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26</v>
      </c>
      <c r="AI23" s="47">
        <f t="shared" si="3"/>
        <v>26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27.2</v>
      </c>
      <c r="AI24" s="47">
        <f t="shared" si="3"/>
        <v>27.2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21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22.5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29.5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13.1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11.4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13.8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21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8.6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10.8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4.5999999999999996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3.2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4.5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:C71" si="21">SUM(B11:B69)</f>
        <v>1061.6999999999998</v>
      </c>
      <c r="C71" s="70">
        <f t="shared" si="21"/>
        <v>1061.6999999999998</v>
      </c>
      <c r="D71" s="70">
        <f t="shared" ref="D71:AG71" si="22">SUM(D11:D69)</f>
        <v>1061.6999999999998</v>
      </c>
      <c r="E71" s="70">
        <f t="shared" si="22"/>
        <v>1061.6999999999998</v>
      </c>
      <c r="F71" s="70">
        <f t="shared" si="22"/>
        <v>1061.6999999999998</v>
      </c>
      <c r="G71" s="70">
        <f t="shared" si="22"/>
        <v>1061.6999999999998</v>
      </c>
      <c r="H71" s="70">
        <f t="shared" si="22"/>
        <v>1061.6999999999998</v>
      </c>
      <c r="I71" s="70">
        <f t="shared" si="22"/>
        <v>1061.6999999999998</v>
      </c>
      <c r="J71" s="70">
        <f t="shared" si="22"/>
        <v>1061.6999999999998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344.1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76</v>
      </c>
      <c r="AI73" s="47">
        <f t="shared" si="3"/>
        <v>74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41.3</v>
      </c>
      <c r="AI74" s="47">
        <f t="shared" si="3"/>
        <v>40.4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26.9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13.4</v>
      </c>
      <c r="AI77" s="47">
        <f t="shared" si="24"/>
        <v>8.6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642.5</v>
      </c>
      <c r="C78" s="70">
        <f t="shared" si="25"/>
        <v>525</v>
      </c>
      <c r="D78" s="70">
        <f t="shared" ref="D78:AG78" si="26">SUM(D72:D77)</f>
        <v>555.00000000000011</v>
      </c>
      <c r="E78" s="70">
        <f t="shared" si="26"/>
        <v>579.1</v>
      </c>
      <c r="F78" s="70">
        <f t="shared" si="26"/>
        <v>578.9</v>
      </c>
      <c r="G78" s="70">
        <f t="shared" si="26"/>
        <v>570.5</v>
      </c>
      <c r="H78" s="70">
        <f t="shared" si="26"/>
        <v>537.1</v>
      </c>
      <c r="I78" s="70">
        <f t="shared" si="26"/>
        <v>519.1</v>
      </c>
      <c r="J78" s="70">
        <f t="shared" si="26"/>
        <v>577</v>
      </c>
      <c r="K78" s="70">
        <f t="shared" si="26"/>
        <v>0</v>
      </c>
      <c r="L78" s="70">
        <f t="shared" si="26"/>
        <v>0</v>
      </c>
      <c r="M78" s="70">
        <f t="shared" si="26"/>
        <v>0</v>
      </c>
      <c r="N78" s="70">
        <f t="shared" si="26"/>
        <v>0</v>
      </c>
      <c r="O78" s="70">
        <f t="shared" si="26"/>
        <v>0</v>
      </c>
      <c r="P78" s="70">
        <f t="shared" si="26"/>
        <v>0</v>
      </c>
      <c r="Q78" s="70">
        <f t="shared" si="26"/>
        <v>0</v>
      </c>
      <c r="R78" s="70">
        <f t="shared" si="26"/>
        <v>0</v>
      </c>
      <c r="S78" s="70">
        <f t="shared" si="26"/>
        <v>0</v>
      </c>
      <c r="T78" s="70">
        <f t="shared" si="26"/>
        <v>0</v>
      </c>
      <c r="U78" s="70">
        <f t="shared" si="26"/>
        <v>0</v>
      </c>
      <c r="V78" s="70">
        <f t="shared" si="26"/>
        <v>0</v>
      </c>
      <c r="W78" s="70">
        <f t="shared" si="26"/>
        <v>0</v>
      </c>
      <c r="X78" s="70">
        <f t="shared" si="26"/>
        <v>0</v>
      </c>
      <c r="Y78" s="70">
        <f t="shared" si="26"/>
        <v>0</v>
      </c>
      <c r="Z78" s="70">
        <f t="shared" si="26"/>
        <v>0</v>
      </c>
      <c r="AA78" s="70">
        <f t="shared" si="26"/>
        <v>0</v>
      </c>
      <c r="AB78" s="70">
        <f t="shared" si="26"/>
        <v>0</v>
      </c>
      <c r="AC78" s="70">
        <f t="shared" si="26"/>
        <v>0</v>
      </c>
      <c r="AD78" s="70">
        <f t="shared" si="26"/>
        <v>0</v>
      </c>
      <c r="AE78" s="70">
        <f t="shared" si="26"/>
        <v>0</v>
      </c>
      <c r="AF78" s="70">
        <f t="shared" si="26"/>
        <v>0</v>
      </c>
      <c r="AG78" s="80">
        <f t="shared" si="26"/>
        <v>706.4</v>
      </c>
      <c r="AH78" s="46">
        <f t="shared" si="23"/>
        <v>642.5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-445</v>
      </c>
      <c r="BA79" s="81">
        <f t="shared" ref="BA79:BD83" si="27">D97</f>
        <v>-495</v>
      </c>
      <c r="BB79" s="81">
        <f t="shared" si="27"/>
        <v>-509.5</v>
      </c>
      <c r="BC79" s="81">
        <f t="shared" si="27"/>
        <v>-532.4</v>
      </c>
      <c r="BD79" s="81">
        <f t="shared" si="27"/>
        <v>-541</v>
      </c>
      <c r="BE79" s="82">
        <f>I97</f>
        <v>-510.9</v>
      </c>
      <c r="BF79" s="82">
        <f>K97</f>
        <v>0</v>
      </c>
      <c r="BG79" s="82">
        <f t="shared" ref="BG79:BP83" si="28">M97</f>
        <v>0</v>
      </c>
      <c r="BH79" s="82">
        <f t="shared" si="28"/>
        <v>0</v>
      </c>
      <c r="BI79" s="82">
        <f t="shared" si="28"/>
        <v>0</v>
      </c>
      <c r="BJ79" s="82">
        <f t="shared" si="28"/>
        <v>0</v>
      </c>
      <c r="BK79" s="82">
        <f t="shared" si="28"/>
        <v>0</v>
      </c>
      <c r="BL79" s="82">
        <f t="shared" si="28"/>
        <v>0</v>
      </c>
      <c r="BM79" s="82">
        <f t="shared" si="28"/>
        <v>0</v>
      </c>
      <c r="BN79" s="82">
        <f t="shared" si="28"/>
        <v>0</v>
      </c>
      <c r="BO79" s="82">
        <f t="shared" si="28"/>
        <v>0</v>
      </c>
      <c r="BP79" s="82">
        <f t="shared" si="28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9">AD97</f>
        <v>0</v>
      </c>
      <c r="BU79" s="81">
        <f t="shared" si="29"/>
        <v>0</v>
      </c>
      <c r="BV79" s="81">
        <f t="shared" si="29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69</v>
      </c>
      <c r="AI80" s="47">
        <f t="shared" si="24"/>
        <v>50.2</v>
      </c>
      <c r="AK80" s="49"/>
      <c r="AY80" s="1" t="s">
        <v>101</v>
      </c>
      <c r="AZ80" s="82">
        <f>ROUND(C98,0)</f>
        <v>0</v>
      </c>
      <c r="BA80" s="81">
        <f t="shared" si="27"/>
        <v>0</v>
      </c>
      <c r="BB80" s="81">
        <f t="shared" si="27"/>
        <v>28.9</v>
      </c>
      <c r="BC80" s="81">
        <f t="shared" si="27"/>
        <v>28.3</v>
      </c>
      <c r="BD80" s="81">
        <f t="shared" si="27"/>
        <v>25.6</v>
      </c>
      <c r="BE80" s="82">
        <f>I98</f>
        <v>21.5</v>
      </c>
      <c r="BF80" s="82">
        <f>K98</f>
        <v>0</v>
      </c>
      <c r="BG80" s="82">
        <f t="shared" si="28"/>
        <v>0</v>
      </c>
      <c r="BH80" s="82">
        <f t="shared" si="28"/>
        <v>0</v>
      </c>
      <c r="BI80" s="82">
        <f t="shared" si="28"/>
        <v>0</v>
      </c>
      <c r="BJ80" s="82">
        <f t="shared" si="28"/>
        <v>0</v>
      </c>
      <c r="BK80" s="82">
        <f t="shared" si="28"/>
        <v>0</v>
      </c>
      <c r="BL80" s="82">
        <f t="shared" si="28"/>
        <v>0</v>
      </c>
      <c r="BM80" s="82">
        <f t="shared" si="28"/>
        <v>0</v>
      </c>
      <c r="BN80" s="82">
        <f t="shared" si="28"/>
        <v>0</v>
      </c>
      <c r="BO80" s="82">
        <f t="shared" si="28"/>
        <v>0</v>
      </c>
      <c r="BP80" s="82">
        <f t="shared" si="2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9"/>
        <v>0</v>
      </c>
      <c r="BU80" s="81">
        <f t="shared" si="29"/>
        <v>0</v>
      </c>
      <c r="BV80" s="81">
        <f t="shared" si="29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69.3</v>
      </c>
      <c r="AI81" s="47">
        <f t="shared" si="24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27"/>
        <v>44</v>
      </c>
      <c r="BB81" s="81">
        <f t="shared" si="27"/>
        <v>0</v>
      </c>
      <c r="BC81" s="81">
        <f t="shared" si="27"/>
        <v>0</v>
      </c>
      <c r="BD81" s="81">
        <f t="shared" si="27"/>
        <v>0</v>
      </c>
      <c r="BE81" s="82">
        <f>I99</f>
        <v>0</v>
      </c>
      <c r="BF81" s="82">
        <f>K99</f>
        <v>0</v>
      </c>
      <c r="BG81" s="82">
        <f t="shared" si="28"/>
        <v>0</v>
      </c>
      <c r="BH81" s="82">
        <f t="shared" si="28"/>
        <v>0</v>
      </c>
      <c r="BI81" s="82">
        <f t="shared" si="28"/>
        <v>0</v>
      </c>
      <c r="BJ81" s="82">
        <f t="shared" si="28"/>
        <v>0</v>
      </c>
      <c r="BK81" s="82">
        <f t="shared" si="28"/>
        <v>0</v>
      </c>
      <c r="BL81" s="82">
        <f t="shared" si="28"/>
        <v>0</v>
      </c>
      <c r="BM81" s="82">
        <f t="shared" si="28"/>
        <v>0</v>
      </c>
      <c r="BN81" s="82">
        <f t="shared" si="28"/>
        <v>0</v>
      </c>
      <c r="BO81" s="82">
        <f t="shared" si="28"/>
        <v>0</v>
      </c>
      <c r="BP81" s="82">
        <f t="shared" si="28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9"/>
        <v>0</v>
      </c>
      <c r="BU81" s="81">
        <f t="shared" si="29"/>
        <v>0</v>
      </c>
      <c r="BV81" s="81">
        <f t="shared" si="29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27"/>
        <v>20.100000000000001</v>
      </c>
      <c r="BB82" s="81">
        <f t="shared" si="27"/>
        <v>19.8</v>
      </c>
      <c r="BC82" s="81">
        <f t="shared" si="27"/>
        <v>20.3</v>
      </c>
      <c r="BD82" s="81">
        <f t="shared" si="27"/>
        <v>20.3</v>
      </c>
      <c r="BE82" s="82">
        <f>I100</f>
        <v>16.600000000000001</v>
      </c>
      <c r="BF82" s="82">
        <f>K100</f>
        <v>0</v>
      </c>
      <c r="BG82" s="82">
        <f t="shared" si="28"/>
        <v>0</v>
      </c>
      <c r="BH82" s="82">
        <f t="shared" si="28"/>
        <v>0</v>
      </c>
      <c r="BI82" s="82">
        <f t="shared" si="28"/>
        <v>0</v>
      </c>
      <c r="BJ82" s="82">
        <f t="shared" si="28"/>
        <v>0</v>
      </c>
      <c r="BK82" s="82">
        <f t="shared" si="28"/>
        <v>0</v>
      </c>
      <c r="BL82" s="82">
        <f t="shared" si="28"/>
        <v>0</v>
      </c>
      <c r="BM82" s="82">
        <f t="shared" si="28"/>
        <v>0</v>
      </c>
      <c r="BN82" s="82">
        <f t="shared" si="28"/>
        <v>0</v>
      </c>
      <c r="BO82" s="82">
        <f t="shared" si="28"/>
        <v>0</v>
      </c>
      <c r="BP82" s="82">
        <f t="shared" si="28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9"/>
        <v>0</v>
      </c>
      <c r="BU82" s="81">
        <f t="shared" si="29"/>
        <v>0</v>
      </c>
      <c r="BV82" s="81">
        <f t="shared" si="29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26.8</v>
      </c>
      <c r="AI83" s="47">
        <f t="shared" si="24"/>
        <v>0</v>
      </c>
      <c r="AK83" s="49"/>
      <c r="AY83" s="1" t="s">
        <v>107</v>
      </c>
      <c r="AZ83" s="82">
        <f>ROUND(C101,0)</f>
        <v>0</v>
      </c>
      <c r="BA83" s="81">
        <f t="shared" si="27"/>
        <v>0</v>
      </c>
      <c r="BB83" s="81">
        <f t="shared" si="27"/>
        <v>0</v>
      </c>
      <c r="BC83" s="81">
        <f t="shared" si="27"/>
        <v>0</v>
      </c>
      <c r="BD83" s="81">
        <f t="shared" si="27"/>
        <v>60</v>
      </c>
      <c r="BE83" s="82">
        <f>I101</f>
        <v>57</v>
      </c>
      <c r="BF83" s="82">
        <f>K101</f>
        <v>0</v>
      </c>
      <c r="BG83" s="82">
        <f t="shared" si="28"/>
        <v>0</v>
      </c>
      <c r="BH83" s="82">
        <f t="shared" si="28"/>
        <v>0</v>
      </c>
      <c r="BI83" s="82">
        <f t="shared" si="28"/>
        <v>0</v>
      </c>
      <c r="BJ83" s="82">
        <f t="shared" si="28"/>
        <v>0</v>
      </c>
      <c r="BK83" s="82">
        <f t="shared" si="28"/>
        <v>0</v>
      </c>
      <c r="BL83" s="82">
        <f t="shared" si="28"/>
        <v>0</v>
      </c>
      <c r="BM83" s="82">
        <f t="shared" si="28"/>
        <v>0</v>
      </c>
      <c r="BN83" s="82">
        <f t="shared" si="28"/>
        <v>0</v>
      </c>
      <c r="BO83" s="82">
        <f t="shared" si="28"/>
        <v>0</v>
      </c>
      <c r="BP83" s="82">
        <f t="shared" si="28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9"/>
        <v>0</v>
      </c>
      <c r="BU83" s="81">
        <f t="shared" si="29"/>
        <v>0</v>
      </c>
      <c r="BV83" s="81">
        <f t="shared" si="2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0">M107</f>
        <v>0</v>
      </c>
      <c r="BH84" s="82">
        <f t="shared" si="30"/>
        <v>0</v>
      </c>
      <c r="BI84" s="82">
        <f t="shared" si="30"/>
        <v>0</v>
      </c>
      <c r="BJ84" s="82">
        <f t="shared" si="30"/>
        <v>0</v>
      </c>
      <c r="BK84" s="82">
        <f t="shared" si="30"/>
        <v>0</v>
      </c>
      <c r="BL84" s="82">
        <f t="shared" si="30"/>
        <v>0</v>
      </c>
      <c r="BM84" s="82">
        <f t="shared" si="30"/>
        <v>0</v>
      </c>
      <c r="BN84" s="82">
        <f t="shared" si="30"/>
        <v>0</v>
      </c>
      <c r="BO84" s="82">
        <f t="shared" si="30"/>
        <v>0</v>
      </c>
      <c r="BP84" s="82">
        <f t="shared" si="3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11.7</v>
      </c>
      <c r="AI85" s="47">
        <f t="shared" si="24"/>
        <v>11.3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1">VALUE(AZ79)</f>
        <v>-445</v>
      </c>
      <c r="BA86" s="82">
        <f t="shared" si="31"/>
        <v>-495</v>
      </c>
      <c r="BB86" s="82">
        <f t="shared" si="31"/>
        <v>-509.5</v>
      </c>
      <c r="BC86" s="82">
        <f t="shared" si="31"/>
        <v>-532.4</v>
      </c>
      <c r="BD86" s="82">
        <f t="shared" si="31"/>
        <v>-541</v>
      </c>
      <c r="BE86" s="82">
        <f t="shared" si="31"/>
        <v>-510.9</v>
      </c>
      <c r="BF86" s="82">
        <f t="shared" si="31"/>
        <v>0</v>
      </c>
      <c r="BG86" s="82">
        <f t="shared" si="31"/>
        <v>0</v>
      </c>
      <c r="BH86" s="82">
        <f t="shared" si="31"/>
        <v>0</v>
      </c>
      <c r="BI86" s="82">
        <f t="shared" si="31"/>
        <v>0</v>
      </c>
      <c r="BJ86" s="82">
        <f t="shared" si="31"/>
        <v>0</v>
      </c>
      <c r="BK86" s="82">
        <f t="shared" si="31"/>
        <v>0</v>
      </c>
      <c r="BL86" s="82">
        <f t="shared" si="31"/>
        <v>0</v>
      </c>
      <c r="BM86" s="82">
        <f t="shared" si="31"/>
        <v>0</v>
      </c>
      <c r="BN86" s="82">
        <f t="shared" si="31"/>
        <v>0</v>
      </c>
      <c r="BO86" s="82">
        <f t="shared" si="31"/>
        <v>0</v>
      </c>
      <c r="BP86" s="82">
        <f t="shared" si="31"/>
        <v>0</v>
      </c>
      <c r="BQ86" s="82">
        <f t="shared" si="31"/>
        <v>0</v>
      </c>
      <c r="BR86" s="82">
        <f t="shared" si="31"/>
        <v>0</v>
      </c>
      <c r="BS86" s="82">
        <f t="shared" si="31"/>
        <v>0</v>
      </c>
      <c r="BT86" s="82">
        <f t="shared" si="31"/>
        <v>0</v>
      </c>
      <c r="BU86" s="82">
        <f t="shared" si="31"/>
        <v>0</v>
      </c>
      <c r="BV86" s="82">
        <f t="shared" si="31"/>
        <v>0</v>
      </c>
      <c r="BW86" s="82">
        <f t="shared" si="31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8.6999999999999993</v>
      </c>
      <c r="AI87" s="47">
        <f t="shared" si="24"/>
        <v>8.6999999999999993</v>
      </c>
      <c r="AK87" s="49"/>
      <c r="AZ87" s="82">
        <f t="shared" si="31"/>
        <v>0</v>
      </c>
      <c r="BA87" s="82">
        <f t="shared" si="31"/>
        <v>0</v>
      </c>
      <c r="BB87" s="82">
        <f t="shared" si="31"/>
        <v>28.9</v>
      </c>
      <c r="BC87" s="82">
        <f t="shared" si="31"/>
        <v>28.3</v>
      </c>
      <c r="BD87" s="82">
        <f t="shared" si="31"/>
        <v>25.6</v>
      </c>
      <c r="BE87" s="82">
        <f t="shared" si="31"/>
        <v>21.5</v>
      </c>
      <c r="BF87" s="82">
        <f t="shared" si="31"/>
        <v>0</v>
      </c>
      <c r="BG87" s="82">
        <f t="shared" si="31"/>
        <v>0</v>
      </c>
      <c r="BH87" s="82">
        <f t="shared" si="31"/>
        <v>0</v>
      </c>
      <c r="BI87" s="82">
        <f t="shared" si="31"/>
        <v>0</v>
      </c>
      <c r="BJ87" s="82">
        <f t="shared" si="31"/>
        <v>0</v>
      </c>
      <c r="BK87" s="82">
        <f t="shared" si="31"/>
        <v>0</v>
      </c>
      <c r="BL87" s="82">
        <f t="shared" si="31"/>
        <v>0</v>
      </c>
      <c r="BM87" s="82">
        <f t="shared" si="31"/>
        <v>0</v>
      </c>
      <c r="BN87" s="82">
        <f t="shared" si="31"/>
        <v>0</v>
      </c>
      <c r="BO87" s="82">
        <f t="shared" si="31"/>
        <v>0</v>
      </c>
      <c r="BP87" s="82">
        <f t="shared" si="31"/>
        <v>0</v>
      </c>
      <c r="BQ87" s="82">
        <f t="shared" si="31"/>
        <v>0</v>
      </c>
      <c r="BR87" s="82">
        <f t="shared" si="31"/>
        <v>0</v>
      </c>
      <c r="BS87" s="82">
        <f t="shared" si="31"/>
        <v>0</v>
      </c>
      <c r="BT87" s="82">
        <f t="shared" si="31"/>
        <v>0</v>
      </c>
      <c r="BU87" s="82">
        <f t="shared" si="31"/>
        <v>0</v>
      </c>
      <c r="BV87" s="82">
        <f t="shared" si="31"/>
        <v>0</v>
      </c>
      <c r="BW87" s="82">
        <f t="shared" si="31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11.4</v>
      </c>
      <c r="AI88" s="47">
        <f t="shared" si="24"/>
        <v>11.1</v>
      </c>
      <c r="AK88" s="49"/>
      <c r="AZ88" s="82">
        <f t="shared" si="31"/>
        <v>47</v>
      </c>
      <c r="BA88" s="82">
        <f t="shared" si="31"/>
        <v>44</v>
      </c>
      <c r="BB88" s="82">
        <f t="shared" si="31"/>
        <v>0</v>
      </c>
      <c r="BC88" s="82">
        <f t="shared" si="31"/>
        <v>0</v>
      </c>
      <c r="BD88" s="82">
        <f t="shared" si="31"/>
        <v>0</v>
      </c>
      <c r="BE88" s="82">
        <f t="shared" si="31"/>
        <v>0</v>
      </c>
      <c r="BF88" s="82">
        <f t="shared" si="31"/>
        <v>0</v>
      </c>
      <c r="BG88" s="82">
        <f t="shared" si="31"/>
        <v>0</v>
      </c>
      <c r="BH88" s="82">
        <f t="shared" si="31"/>
        <v>0</v>
      </c>
      <c r="BI88" s="82">
        <f t="shared" si="31"/>
        <v>0</v>
      </c>
      <c r="BJ88" s="82">
        <f t="shared" si="31"/>
        <v>0</v>
      </c>
      <c r="BK88" s="82">
        <f t="shared" si="31"/>
        <v>0</v>
      </c>
      <c r="BL88" s="82">
        <f t="shared" si="31"/>
        <v>0</v>
      </c>
      <c r="BM88" s="82">
        <f t="shared" si="31"/>
        <v>0</v>
      </c>
      <c r="BN88" s="82">
        <f t="shared" si="31"/>
        <v>0</v>
      </c>
      <c r="BO88" s="82">
        <f t="shared" si="31"/>
        <v>0</v>
      </c>
      <c r="BP88" s="82">
        <f t="shared" si="31"/>
        <v>0</v>
      </c>
      <c r="BQ88" s="82">
        <f t="shared" si="31"/>
        <v>0</v>
      </c>
      <c r="BR88" s="82">
        <f t="shared" si="31"/>
        <v>0</v>
      </c>
      <c r="BS88" s="82">
        <f t="shared" si="31"/>
        <v>0</v>
      </c>
      <c r="BT88" s="82">
        <f t="shared" si="31"/>
        <v>0</v>
      </c>
      <c r="BU88" s="82">
        <f t="shared" si="31"/>
        <v>0</v>
      </c>
      <c r="BV88" s="82">
        <f t="shared" si="31"/>
        <v>0</v>
      </c>
      <c r="BW88" s="82">
        <f t="shared" si="31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9.1999999999999993</v>
      </c>
      <c r="AI89" s="47">
        <f t="shared" si="24"/>
        <v>9.1999999999999993</v>
      </c>
      <c r="AK89" s="49"/>
      <c r="AZ89" s="82">
        <f t="shared" si="31"/>
        <v>21</v>
      </c>
      <c r="BA89" s="82">
        <f t="shared" si="31"/>
        <v>20.100000000000001</v>
      </c>
      <c r="BB89" s="82">
        <f t="shared" si="31"/>
        <v>19.8</v>
      </c>
      <c r="BC89" s="82">
        <f t="shared" si="31"/>
        <v>20.3</v>
      </c>
      <c r="BD89" s="82">
        <f t="shared" si="31"/>
        <v>20.3</v>
      </c>
      <c r="BE89" s="82">
        <f t="shared" si="31"/>
        <v>16.600000000000001</v>
      </c>
      <c r="BF89" s="82">
        <f t="shared" si="31"/>
        <v>0</v>
      </c>
      <c r="BG89" s="82">
        <f t="shared" si="31"/>
        <v>0</v>
      </c>
      <c r="BH89" s="82">
        <f t="shared" si="31"/>
        <v>0</v>
      </c>
      <c r="BI89" s="82">
        <f t="shared" si="31"/>
        <v>0</v>
      </c>
      <c r="BJ89" s="82">
        <f t="shared" si="31"/>
        <v>0</v>
      </c>
      <c r="BK89" s="82">
        <f t="shared" si="31"/>
        <v>0</v>
      </c>
      <c r="BL89" s="82">
        <f t="shared" si="31"/>
        <v>0</v>
      </c>
      <c r="BM89" s="82">
        <f t="shared" si="31"/>
        <v>0</v>
      </c>
      <c r="BN89" s="82">
        <f t="shared" si="31"/>
        <v>0</v>
      </c>
      <c r="BO89" s="82">
        <f t="shared" si="31"/>
        <v>0</v>
      </c>
      <c r="BP89" s="82">
        <f t="shared" si="31"/>
        <v>0</v>
      </c>
      <c r="BQ89" s="82">
        <f t="shared" si="31"/>
        <v>0</v>
      </c>
      <c r="BR89" s="82">
        <f t="shared" si="31"/>
        <v>0</v>
      </c>
      <c r="BS89" s="82">
        <f t="shared" si="31"/>
        <v>0</v>
      </c>
      <c r="BT89" s="82">
        <f t="shared" si="31"/>
        <v>0</v>
      </c>
      <c r="BU89" s="82">
        <f t="shared" si="31"/>
        <v>0</v>
      </c>
      <c r="BV89" s="82">
        <f t="shared" si="31"/>
        <v>0</v>
      </c>
      <c r="BW89" s="82">
        <f t="shared" si="31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1"/>
        <v>0</v>
      </c>
      <c r="BA90" s="82">
        <f t="shared" si="31"/>
        <v>0</v>
      </c>
      <c r="BB90" s="82">
        <f t="shared" si="31"/>
        <v>0</v>
      </c>
      <c r="BC90" s="82">
        <f t="shared" si="31"/>
        <v>0</v>
      </c>
      <c r="BD90" s="82">
        <f t="shared" si="31"/>
        <v>60</v>
      </c>
      <c r="BE90" s="82">
        <f t="shared" si="31"/>
        <v>57</v>
      </c>
      <c r="BF90" s="82">
        <f t="shared" si="31"/>
        <v>0</v>
      </c>
      <c r="BG90" s="82">
        <f t="shared" si="31"/>
        <v>0</v>
      </c>
      <c r="BH90" s="82">
        <f t="shared" si="31"/>
        <v>0</v>
      </c>
      <c r="BI90" s="82">
        <f t="shared" si="31"/>
        <v>0</v>
      </c>
      <c r="BJ90" s="82">
        <f t="shared" si="31"/>
        <v>0</v>
      </c>
      <c r="BK90" s="82">
        <f t="shared" si="31"/>
        <v>0</v>
      </c>
      <c r="BL90" s="82">
        <f t="shared" si="31"/>
        <v>0</v>
      </c>
      <c r="BM90" s="82">
        <f t="shared" si="31"/>
        <v>0</v>
      </c>
      <c r="BN90" s="82">
        <f t="shared" si="31"/>
        <v>0</v>
      </c>
      <c r="BO90" s="82">
        <f t="shared" si="31"/>
        <v>0</v>
      </c>
      <c r="BP90" s="82">
        <f t="shared" si="31"/>
        <v>0</v>
      </c>
      <c r="BQ90" s="82">
        <f t="shared" si="31"/>
        <v>0</v>
      </c>
      <c r="BR90" s="82">
        <f t="shared" si="31"/>
        <v>0</v>
      </c>
      <c r="BS90" s="82">
        <f t="shared" si="31"/>
        <v>0</v>
      </c>
      <c r="BT90" s="82">
        <f t="shared" si="31"/>
        <v>0</v>
      </c>
      <c r="BU90" s="82">
        <f t="shared" si="31"/>
        <v>0</v>
      </c>
      <c r="BV90" s="82">
        <f t="shared" si="31"/>
        <v>0</v>
      </c>
      <c r="BW90" s="82">
        <f t="shared" si="3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1"/>
        <v>0</v>
      </c>
      <c r="BA91" s="82">
        <f t="shared" si="31"/>
        <v>0</v>
      </c>
      <c r="BB91" s="82">
        <f t="shared" si="31"/>
        <v>0</v>
      </c>
      <c r="BC91" s="82">
        <f t="shared" si="31"/>
        <v>0</v>
      </c>
      <c r="BD91" s="82">
        <f t="shared" si="31"/>
        <v>0</v>
      </c>
      <c r="BE91" s="82">
        <f t="shared" si="31"/>
        <v>0</v>
      </c>
      <c r="BF91" s="82">
        <f t="shared" si="31"/>
        <v>0</v>
      </c>
      <c r="BG91" s="82">
        <f t="shared" si="31"/>
        <v>0</v>
      </c>
      <c r="BH91" s="82">
        <f t="shared" si="31"/>
        <v>0</v>
      </c>
      <c r="BI91" s="82">
        <f t="shared" si="31"/>
        <v>0</v>
      </c>
      <c r="BJ91" s="82">
        <f t="shared" si="31"/>
        <v>0</v>
      </c>
      <c r="BK91" s="82">
        <f t="shared" si="31"/>
        <v>0</v>
      </c>
      <c r="BL91" s="82">
        <f t="shared" si="31"/>
        <v>0</v>
      </c>
      <c r="BM91" s="82">
        <f t="shared" si="31"/>
        <v>0</v>
      </c>
      <c r="BN91" s="82">
        <f t="shared" si="31"/>
        <v>0</v>
      </c>
      <c r="BO91" s="82">
        <f t="shared" si="31"/>
        <v>0</v>
      </c>
      <c r="BP91" s="82">
        <f t="shared" si="31"/>
        <v>0</v>
      </c>
      <c r="BQ91" s="82">
        <f t="shared" si="31"/>
        <v>0</v>
      </c>
      <c r="BR91" s="82">
        <f t="shared" si="31"/>
        <v>0</v>
      </c>
      <c r="BS91" s="82">
        <f t="shared" si="31"/>
        <v>0</v>
      </c>
      <c r="BT91" s="82">
        <f t="shared" si="31"/>
        <v>0</v>
      </c>
      <c r="BU91" s="82">
        <f t="shared" si="31"/>
        <v>0</v>
      </c>
      <c r="BV91" s="82">
        <f t="shared" si="31"/>
        <v>0</v>
      </c>
      <c r="BW91" s="82">
        <f t="shared" si="31"/>
        <v>0</v>
      </c>
    </row>
    <row r="92" spans="1:75" ht="15.75" thickBot="1" x14ac:dyDescent="0.3">
      <c r="A92" s="87" t="s">
        <v>117</v>
      </c>
      <c r="B92" s="70">
        <f t="shared" ref="B92:C92" si="32">SUM(B79:B91)</f>
        <v>354.40000000000003</v>
      </c>
      <c r="C92" s="70">
        <f t="shared" si="32"/>
        <v>348.49999999999994</v>
      </c>
      <c r="D92" s="70">
        <f t="shared" ref="B92:AG92" si="33">SUM(D79:D91)</f>
        <v>351.79999999999995</v>
      </c>
      <c r="E92" s="70">
        <f t="shared" si="33"/>
        <v>351.79999999999995</v>
      </c>
      <c r="F92" s="70">
        <f t="shared" si="33"/>
        <v>345.99999999999994</v>
      </c>
      <c r="G92" s="70">
        <f t="shared" si="33"/>
        <v>304.59999999999997</v>
      </c>
      <c r="H92" s="70">
        <f t="shared" si="33"/>
        <v>314.59999999999997</v>
      </c>
      <c r="I92" s="70">
        <f t="shared" si="33"/>
        <v>314.59999999999997</v>
      </c>
      <c r="J92" s="70">
        <f t="shared" si="33"/>
        <v>333.39999999999992</v>
      </c>
      <c r="K92" s="70">
        <f t="shared" si="33"/>
        <v>2</v>
      </c>
      <c r="L92" s="70">
        <f t="shared" si="33"/>
        <v>2</v>
      </c>
      <c r="M92" s="70">
        <f t="shared" si="33"/>
        <v>2</v>
      </c>
      <c r="N92" s="70">
        <f t="shared" si="33"/>
        <v>2</v>
      </c>
      <c r="O92" s="70">
        <f t="shared" si="33"/>
        <v>2</v>
      </c>
      <c r="P92" s="70">
        <f t="shared" si="33"/>
        <v>2</v>
      </c>
      <c r="Q92" s="70">
        <f t="shared" si="33"/>
        <v>2</v>
      </c>
      <c r="R92" s="70">
        <f t="shared" si="33"/>
        <v>2</v>
      </c>
      <c r="S92" s="70">
        <f t="shared" si="33"/>
        <v>2</v>
      </c>
      <c r="T92" s="70">
        <f t="shared" si="33"/>
        <v>2</v>
      </c>
      <c r="U92" s="70">
        <f t="shared" si="33"/>
        <v>2</v>
      </c>
      <c r="V92" s="70">
        <f t="shared" si="33"/>
        <v>2</v>
      </c>
      <c r="W92" s="70">
        <f t="shared" si="33"/>
        <v>2</v>
      </c>
      <c r="X92" s="70">
        <f t="shared" si="33"/>
        <v>2</v>
      </c>
      <c r="Y92" s="70">
        <f t="shared" si="33"/>
        <v>2</v>
      </c>
      <c r="Z92" s="70">
        <f t="shared" si="33"/>
        <v>2</v>
      </c>
      <c r="AA92" s="70">
        <f t="shared" si="33"/>
        <v>2</v>
      </c>
      <c r="AB92" s="70">
        <f t="shared" si="33"/>
        <v>2</v>
      </c>
      <c r="AC92" s="70">
        <f t="shared" si="33"/>
        <v>2</v>
      </c>
      <c r="AD92" s="70">
        <f t="shared" si="33"/>
        <v>2</v>
      </c>
      <c r="AE92" s="70">
        <f t="shared" si="33"/>
        <v>2</v>
      </c>
      <c r="AF92" s="70">
        <f t="shared" si="33"/>
        <v>2</v>
      </c>
      <c r="AG92" s="80">
        <f t="shared" si="33"/>
        <v>489.91</v>
      </c>
      <c r="AH92" s="46">
        <f t="shared" si="23"/>
        <v>354.40000000000003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30</v>
      </c>
      <c r="AI93" s="47">
        <f t="shared" si="24"/>
        <v>10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10</v>
      </c>
      <c r="AI94" s="47">
        <f t="shared" si="24"/>
        <v>4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5</v>
      </c>
      <c r="AI95" s="47">
        <f t="shared" si="24"/>
        <v>2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34">B93+B94+B95</f>
        <v>30</v>
      </c>
      <c r="C96" s="70">
        <f t="shared" si="34"/>
        <v>30</v>
      </c>
      <c r="D96" s="70">
        <f t="shared" ref="B96:AF96" si="35">D93+D94+D95</f>
        <v>30</v>
      </c>
      <c r="E96" s="70">
        <f t="shared" si="35"/>
        <v>24</v>
      </c>
      <c r="F96" s="70">
        <f t="shared" si="35"/>
        <v>24</v>
      </c>
      <c r="G96" s="70">
        <f t="shared" si="35"/>
        <v>30</v>
      </c>
      <c r="H96" s="70">
        <f t="shared" si="35"/>
        <v>30</v>
      </c>
      <c r="I96" s="70">
        <f t="shared" si="35"/>
        <v>45</v>
      </c>
      <c r="J96" s="70">
        <f t="shared" si="35"/>
        <v>16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3"/>
        <v>45</v>
      </c>
      <c r="AI96" s="47">
        <f t="shared" si="24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-445.4</v>
      </c>
      <c r="AI97" s="47">
        <f t="shared" si="24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28.9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49.1</v>
      </c>
      <c r="AI99" s="47">
        <f t="shared" si="24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21.5</v>
      </c>
      <c r="AI100" s="47">
        <f t="shared" si="24"/>
        <v>13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60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47.1</v>
      </c>
      <c r="AI102" s="47">
        <f t="shared" si="24"/>
        <v>14.2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36">SUMIF(B97:B107,"&gt;0")</f>
        <v>88.199999999999989</v>
      </c>
      <c r="C108" s="70">
        <f t="shared" si="36"/>
        <v>86.1</v>
      </c>
      <c r="D108" s="70">
        <f t="shared" ref="B108:AF108" si="37">SUMIF(D97:D107,"&gt;0")</f>
        <v>78.3</v>
      </c>
      <c r="E108" s="70">
        <f t="shared" si="37"/>
        <v>64.3</v>
      </c>
      <c r="F108" s="70">
        <f t="shared" si="37"/>
        <v>68.2</v>
      </c>
      <c r="G108" s="70">
        <f t="shared" si="37"/>
        <v>135.9</v>
      </c>
      <c r="H108" s="70">
        <f t="shared" si="37"/>
        <v>140</v>
      </c>
      <c r="I108" s="70">
        <f t="shared" si="37"/>
        <v>142.19999999999999</v>
      </c>
      <c r="J108" s="70">
        <f t="shared" si="37"/>
        <v>140.5</v>
      </c>
      <c r="K108" s="70">
        <f t="shared" si="37"/>
        <v>0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3"/>
        <v>142.19999999999999</v>
      </c>
      <c r="AI108" s="47">
        <f t="shared" si="24"/>
        <v>0</v>
      </c>
      <c r="AJ108" s="105">
        <f t="array" ref="AJ108">MIN(IF(B108:AF108&lt;&gt;0,B108:AF108))</f>
        <v>64.3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38">B71+B78+B96+B92+B108+B112</f>
        <v>2176.7999999999997</v>
      </c>
      <c r="C113" s="108">
        <f t="shared" si="38"/>
        <v>2051.2999999999997</v>
      </c>
      <c r="D113" s="108">
        <f t="shared" ref="B113:AG113" si="39">D71+D78+D96+D92+D108+D112</f>
        <v>2076.7999999999997</v>
      </c>
      <c r="E113" s="108">
        <f t="shared" si="39"/>
        <v>2080.8999999999996</v>
      </c>
      <c r="F113" s="108">
        <f t="shared" si="39"/>
        <v>2078.7999999999997</v>
      </c>
      <c r="G113" s="108">
        <f t="shared" si="39"/>
        <v>2102.6999999999998</v>
      </c>
      <c r="H113" s="108">
        <f t="shared" si="39"/>
        <v>2083.3999999999996</v>
      </c>
      <c r="I113" s="108">
        <f t="shared" si="39"/>
        <v>2082.5999999999995</v>
      </c>
      <c r="J113" s="108">
        <f t="shared" si="39"/>
        <v>2128.5999999999995</v>
      </c>
      <c r="K113" s="108">
        <f t="shared" si="39"/>
        <v>152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3"/>
        <v>2176.7999999999997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60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40">B113+B114</f>
        <v>2236.7999999999997</v>
      </c>
      <c r="C115" s="108">
        <f t="shared" si="40"/>
        <v>2111.2999999999997</v>
      </c>
      <c r="D115" s="108">
        <f t="shared" ref="C115:AF115" si="41">D113+D114</f>
        <v>2136.7999999999997</v>
      </c>
      <c r="E115" s="108">
        <f t="shared" si="41"/>
        <v>2120.8999999999996</v>
      </c>
      <c r="F115" s="108">
        <f t="shared" si="41"/>
        <v>2118.7999999999997</v>
      </c>
      <c r="G115" s="108">
        <f t="shared" si="41"/>
        <v>2132.6999999999998</v>
      </c>
      <c r="H115" s="108">
        <f t="shared" si="41"/>
        <v>2083.3999999999996</v>
      </c>
      <c r="I115" s="108">
        <f t="shared" si="41"/>
        <v>2082.5999999999995</v>
      </c>
      <c r="J115" s="108">
        <f t="shared" si="41"/>
        <v>2128.5999999999995</v>
      </c>
      <c r="K115" s="108">
        <f t="shared" si="41"/>
        <v>152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3"/>
        <v>2236.7999999999997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42">B115-(B123)</f>
        <v>1707.5999999999997</v>
      </c>
      <c r="C116" s="108">
        <f t="shared" si="42"/>
        <v>1665.8999999999996</v>
      </c>
      <c r="D116" s="108">
        <f t="shared" ref="C116:AF116" si="43">D115-(D123)</f>
        <v>1641.7999999999997</v>
      </c>
      <c r="E116" s="108">
        <f t="shared" si="43"/>
        <v>1611.3999999999996</v>
      </c>
      <c r="F116" s="108">
        <f t="shared" si="43"/>
        <v>1586.3999999999996</v>
      </c>
      <c r="G116" s="108">
        <f t="shared" si="43"/>
        <v>1591.6999999999998</v>
      </c>
      <c r="H116" s="108">
        <f t="shared" si="43"/>
        <v>1574.3999999999996</v>
      </c>
      <c r="I116" s="108">
        <f t="shared" si="43"/>
        <v>1571.6999999999994</v>
      </c>
      <c r="J116" s="108">
        <f t="shared" si="43"/>
        <v>1632.5999999999995</v>
      </c>
      <c r="K116" s="108">
        <f t="shared" si="43"/>
        <v>152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3"/>
        <v>1707.5999999999997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44">IF(B97&lt;0,B97*-1,0)</f>
        <v>529.20000000000005</v>
      </c>
      <c r="C117" s="93">
        <f t="shared" si="44"/>
        <v>445.4</v>
      </c>
      <c r="D117" s="93">
        <f t="shared" ref="B117:AF122" si="45">IF(D97&lt;0,D97*-1,0)</f>
        <v>495</v>
      </c>
      <c r="E117" s="93">
        <f t="shared" si="45"/>
        <v>509.5</v>
      </c>
      <c r="F117" s="93">
        <f t="shared" si="45"/>
        <v>532.4</v>
      </c>
      <c r="G117" s="93">
        <f t="shared" si="45"/>
        <v>541</v>
      </c>
      <c r="H117" s="93">
        <f t="shared" si="45"/>
        <v>509</v>
      </c>
      <c r="I117" s="93">
        <f t="shared" si="45"/>
        <v>510.9</v>
      </c>
      <c r="J117" s="93">
        <f t="shared" si="45"/>
        <v>496</v>
      </c>
      <c r="K117" s="93">
        <f t="shared" si="45"/>
        <v>0</v>
      </c>
      <c r="L117" s="93">
        <f t="shared" si="45"/>
        <v>0</v>
      </c>
      <c r="M117" s="93">
        <f t="shared" si="45"/>
        <v>0</v>
      </c>
      <c r="N117" s="93">
        <f t="shared" si="45"/>
        <v>0</v>
      </c>
      <c r="O117" s="93">
        <f t="shared" si="45"/>
        <v>0</v>
      </c>
      <c r="P117" s="93">
        <f t="shared" si="45"/>
        <v>0</v>
      </c>
      <c r="Q117" s="93">
        <f t="shared" si="45"/>
        <v>0</v>
      </c>
      <c r="R117" s="93">
        <f t="shared" si="45"/>
        <v>0</v>
      </c>
      <c r="S117" s="93">
        <f t="shared" si="45"/>
        <v>0</v>
      </c>
      <c r="T117" s="93">
        <f t="shared" si="45"/>
        <v>0</v>
      </c>
      <c r="U117" s="93">
        <f t="shared" si="45"/>
        <v>0</v>
      </c>
      <c r="V117" s="93">
        <f t="shared" si="45"/>
        <v>0</v>
      </c>
      <c r="W117" s="93">
        <f t="shared" si="45"/>
        <v>0</v>
      </c>
      <c r="X117" s="93">
        <f t="shared" si="45"/>
        <v>0</v>
      </c>
      <c r="Y117" s="93">
        <f t="shared" si="45"/>
        <v>0</v>
      </c>
      <c r="Z117" s="93">
        <f t="shared" si="45"/>
        <v>0</v>
      </c>
      <c r="AA117" s="93">
        <f t="shared" si="45"/>
        <v>0</v>
      </c>
      <c r="AB117" s="93">
        <f t="shared" si="45"/>
        <v>0</v>
      </c>
      <c r="AC117" s="93">
        <f t="shared" si="45"/>
        <v>0</v>
      </c>
      <c r="AD117" s="93">
        <f t="shared" si="45"/>
        <v>0</v>
      </c>
      <c r="AE117" s="93">
        <f t="shared" si="45"/>
        <v>0</v>
      </c>
      <c r="AF117" s="93">
        <f t="shared" si="45"/>
        <v>0</v>
      </c>
      <c r="AG117" s="61"/>
      <c r="AH117" s="46">
        <f t="shared" si="23"/>
        <v>541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4"/>
        <v>0</v>
      </c>
      <c r="C118" s="93">
        <f t="shared" si="44"/>
        <v>0</v>
      </c>
      <c r="D118" s="93">
        <f t="shared" si="45"/>
        <v>0</v>
      </c>
      <c r="E118" s="93">
        <f t="shared" si="45"/>
        <v>0</v>
      </c>
      <c r="F118" s="93">
        <f t="shared" si="45"/>
        <v>0</v>
      </c>
      <c r="G118" s="93">
        <f t="shared" si="45"/>
        <v>0</v>
      </c>
      <c r="H118" s="93">
        <f t="shared" si="45"/>
        <v>0</v>
      </c>
      <c r="I118" s="93">
        <f t="shared" si="45"/>
        <v>0</v>
      </c>
      <c r="J118" s="93">
        <f t="shared" si="45"/>
        <v>0</v>
      </c>
      <c r="K118" s="93">
        <f t="shared" si="45"/>
        <v>0</v>
      </c>
      <c r="L118" s="93">
        <f t="shared" si="45"/>
        <v>0</v>
      </c>
      <c r="M118" s="93">
        <f t="shared" si="45"/>
        <v>0</v>
      </c>
      <c r="N118" s="93">
        <f t="shared" si="45"/>
        <v>0</v>
      </c>
      <c r="O118" s="93">
        <f t="shared" si="45"/>
        <v>0</v>
      </c>
      <c r="P118" s="93">
        <f t="shared" si="45"/>
        <v>0</v>
      </c>
      <c r="Q118" s="93">
        <f t="shared" si="45"/>
        <v>0</v>
      </c>
      <c r="R118" s="93">
        <f t="shared" si="45"/>
        <v>0</v>
      </c>
      <c r="S118" s="93">
        <f t="shared" si="45"/>
        <v>0</v>
      </c>
      <c r="T118" s="93">
        <f t="shared" si="45"/>
        <v>0</v>
      </c>
      <c r="U118" s="93">
        <f t="shared" si="45"/>
        <v>0</v>
      </c>
      <c r="V118" s="93">
        <f t="shared" si="45"/>
        <v>0</v>
      </c>
      <c r="W118" s="93">
        <f t="shared" si="45"/>
        <v>0</v>
      </c>
      <c r="X118" s="93">
        <f t="shared" si="45"/>
        <v>0</v>
      </c>
      <c r="Y118" s="93">
        <f t="shared" si="45"/>
        <v>0</v>
      </c>
      <c r="Z118" s="93">
        <f t="shared" si="45"/>
        <v>0</v>
      </c>
      <c r="AA118" s="93">
        <f t="shared" si="45"/>
        <v>0</v>
      </c>
      <c r="AB118" s="93">
        <f t="shared" si="45"/>
        <v>0</v>
      </c>
      <c r="AC118" s="93">
        <f t="shared" si="45"/>
        <v>0</v>
      </c>
      <c r="AD118" s="93">
        <f t="shared" si="45"/>
        <v>0</v>
      </c>
      <c r="AE118" s="93">
        <f t="shared" si="45"/>
        <v>0</v>
      </c>
      <c r="AF118" s="93">
        <f t="shared" si="45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4"/>
        <v>0</v>
      </c>
      <c r="C119" s="93">
        <f t="shared" si="44"/>
        <v>0</v>
      </c>
      <c r="D119" s="93">
        <f t="shared" si="45"/>
        <v>0</v>
      </c>
      <c r="E119" s="93">
        <f t="shared" si="45"/>
        <v>0</v>
      </c>
      <c r="F119" s="93">
        <f t="shared" si="45"/>
        <v>0</v>
      </c>
      <c r="G119" s="93">
        <f t="shared" si="45"/>
        <v>0</v>
      </c>
      <c r="H119" s="93">
        <f t="shared" si="45"/>
        <v>0</v>
      </c>
      <c r="I119" s="93">
        <f t="shared" si="45"/>
        <v>0</v>
      </c>
      <c r="J119" s="93">
        <f t="shared" si="45"/>
        <v>0</v>
      </c>
      <c r="K119" s="93">
        <f t="shared" si="45"/>
        <v>0</v>
      </c>
      <c r="L119" s="93">
        <f t="shared" si="45"/>
        <v>0</v>
      </c>
      <c r="M119" s="93">
        <f t="shared" si="45"/>
        <v>0</v>
      </c>
      <c r="N119" s="93">
        <f t="shared" si="45"/>
        <v>0</v>
      </c>
      <c r="O119" s="93">
        <f t="shared" si="45"/>
        <v>0</v>
      </c>
      <c r="P119" s="93">
        <f t="shared" si="45"/>
        <v>0</v>
      </c>
      <c r="Q119" s="93">
        <f t="shared" si="45"/>
        <v>0</v>
      </c>
      <c r="R119" s="93">
        <f t="shared" si="45"/>
        <v>0</v>
      </c>
      <c r="S119" s="93">
        <f t="shared" si="45"/>
        <v>0</v>
      </c>
      <c r="T119" s="93">
        <f t="shared" si="45"/>
        <v>0</v>
      </c>
      <c r="U119" s="93">
        <f t="shared" si="45"/>
        <v>0</v>
      </c>
      <c r="V119" s="93">
        <f t="shared" si="45"/>
        <v>0</v>
      </c>
      <c r="W119" s="93">
        <f t="shared" si="45"/>
        <v>0</v>
      </c>
      <c r="X119" s="93">
        <f t="shared" si="45"/>
        <v>0</v>
      </c>
      <c r="Y119" s="93">
        <f t="shared" si="45"/>
        <v>0</v>
      </c>
      <c r="Z119" s="93">
        <f t="shared" si="45"/>
        <v>0</v>
      </c>
      <c r="AA119" s="93">
        <f t="shared" si="45"/>
        <v>0</v>
      </c>
      <c r="AB119" s="93">
        <f t="shared" si="45"/>
        <v>0</v>
      </c>
      <c r="AC119" s="93">
        <f t="shared" si="45"/>
        <v>0</v>
      </c>
      <c r="AD119" s="93">
        <f t="shared" si="45"/>
        <v>0</v>
      </c>
      <c r="AE119" s="93">
        <f t="shared" si="45"/>
        <v>0</v>
      </c>
      <c r="AF119" s="93">
        <f t="shared" si="45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4"/>
        <v>0</v>
      </c>
      <c r="C120" s="93">
        <f t="shared" si="44"/>
        <v>0</v>
      </c>
      <c r="D120" s="93">
        <f t="shared" si="45"/>
        <v>0</v>
      </c>
      <c r="E120" s="93">
        <f t="shared" si="45"/>
        <v>0</v>
      </c>
      <c r="F120" s="93">
        <f t="shared" si="45"/>
        <v>0</v>
      </c>
      <c r="G120" s="93">
        <f t="shared" si="45"/>
        <v>0</v>
      </c>
      <c r="H120" s="93">
        <f t="shared" si="45"/>
        <v>0</v>
      </c>
      <c r="I120" s="93">
        <f t="shared" si="45"/>
        <v>0</v>
      </c>
      <c r="J120" s="93">
        <f t="shared" si="45"/>
        <v>0</v>
      </c>
      <c r="K120" s="93">
        <f t="shared" si="45"/>
        <v>0</v>
      </c>
      <c r="L120" s="93">
        <f t="shared" si="45"/>
        <v>0</v>
      </c>
      <c r="M120" s="93">
        <f t="shared" si="45"/>
        <v>0</v>
      </c>
      <c r="N120" s="93">
        <f t="shared" si="45"/>
        <v>0</v>
      </c>
      <c r="O120" s="93">
        <f t="shared" si="45"/>
        <v>0</v>
      </c>
      <c r="P120" s="93">
        <f t="shared" si="45"/>
        <v>0</v>
      </c>
      <c r="Q120" s="93">
        <f t="shared" si="45"/>
        <v>0</v>
      </c>
      <c r="R120" s="93">
        <f t="shared" si="45"/>
        <v>0</v>
      </c>
      <c r="S120" s="93">
        <f t="shared" si="45"/>
        <v>0</v>
      </c>
      <c r="T120" s="93">
        <f t="shared" si="45"/>
        <v>0</v>
      </c>
      <c r="U120" s="93">
        <f t="shared" si="45"/>
        <v>0</v>
      </c>
      <c r="V120" s="93">
        <f t="shared" si="45"/>
        <v>0</v>
      </c>
      <c r="W120" s="93">
        <f t="shared" si="45"/>
        <v>0</v>
      </c>
      <c r="X120" s="93">
        <f t="shared" si="45"/>
        <v>0</v>
      </c>
      <c r="Y120" s="93">
        <f t="shared" si="45"/>
        <v>0</v>
      </c>
      <c r="Z120" s="93">
        <f t="shared" si="45"/>
        <v>0</v>
      </c>
      <c r="AA120" s="93">
        <f t="shared" si="45"/>
        <v>0</v>
      </c>
      <c r="AB120" s="93">
        <f t="shared" si="45"/>
        <v>0</v>
      </c>
      <c r="AC120" s="93">
        <f t="shared" si="45"/>
        <v>0</v>
      </c>
      <c r="AD120" s="93">
        <f t="shared" si="45"/>
        <v>0</v>
      </c>
      <c r="AE120" s="93">
        <f t="shared" si="45"/>
        <v>0</v>
      </c>
      <c r="AF120" s="93">
        <f t="shared" si="45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4"/>
        <v>0</v>
      </c>
      <c r="C121" s="93">
        <f t="shared" si="44"/>
        <v>0</v>
      </c>
      <c r="D121" s="93">
        <f t="shared" si="45"/>
        <v>0</v>
      </c>
      <c r="E121" s="93">
        <f t="shared" si="45"/>
        <v>0</v>
      </c>
      <c r="F121" s="93">
        <f t="shared" si="45"/>
        <v>0</v>
      </c>
      <c r="G121" s="93">
        <f t="shared" si="45"/>
        <v>0</v>
      </c>
      <c r="H121" s="93">
        <f t="shared" si="45"/>
        <v>0</v>
      </c>
      <c r="I121" s="93">
        <f t="shared" si="45"/>
        <v>0</v>
      </c>
      <c r="J121" s="93">
        <f t="shared" si="45"/>
        <v>0</v>
      </c>
      <c r="K121" s="93">
        <f t="shared" si="45"/>
        <v>0</v>
      </c>
      <c r="L121" s="93">
        <f t="shared" si="45"/>
        <v>0</v>
      </c>
      <c r="M121" s="93">
        <f t="shared" si="45"/>
        <v>0</v>
      </c>
      <c r="N121" s="93">
        <f t="shared" si="45"/>
        <v>0</v>
      </c>
      <c r="O121" s="93">
        <f t="shared" si="45"/>
        <v>0</v>
      </c>
      <c r="P121" s="93">
        <f t="shared" si="45"/>
        <v>0</v>
      </c>
      <c r="Q121" s="93">
        <f t="shared" si="45"/>
        <v>0</v>
      </c>
      <c r="R121" s="93">
        <f t="shared" si="45"/>
        <v>0</v>
      </c>
      <c r="S121" s="93">
        <f t="shared" si="45"/>
        <v>0</v>
      </c>
      <c r="T121" s="93">
        <f t="shared" si="45"/>
        <v>0</v>
      </c>
      <c r="U121" s="93">
        <f t="shared" si="45"/>
        <v>0</v>
      </c>
      <c r="V121" s="93">
        <f t="shared" si="45"/>
        <v>0</v>
      </c>
      <c r="W121" s="93">
        <f t="shared" si="45"/>
        <v>0</v>
      </c>
      <c r="X121" s="93">
        <f t="shared" si="45"/>
        <v>0</v>
      </c>
      <c r="Y121" s="93">
        <f t="shared" si="45"/>
        <v>0</v>
      </c>
      <c r="Z121" s="93">
        <f t="shared" si="45"/>
        <v>0</v>
      </c>
      <c r="AA121" s="93">
        <f t="shared" si="45"/>
        <v>0</v>
      </c>
      <c r="AB121" s="93">
        <f t="shared" si="45"/>
        <v>0</v>
      </c>
      <c r="AC121" s="93">
        <f t="shared" si="45"/>
        <v>0</v>
      </c>
      <c r="AD121" s="93">
        <f t="shared" si="45"/>
        <v>0</v>
      </c>
      <c r="AE121" s="93">
        <f t="shared" si="45"/>
        <v>0</v>
      </c>
      <c r="AF121" s="93">
        <f t="shared" si="45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4"/>
        <v>0</v>
      </c>
      <c r="C122" s="93">
        <f t="shared" si="44"/>
        <v>0</v>
      </c>
      <c r="D122" s="93">
        <f t="shared" si="45"/>
        <v>0</v>
      </c>
      <c r="E122" s="93">
        <f t="shared" si="45"/>
        <v>0</v>
      </c>
      <c r="F122" s="93">
        <f t="shared" si="45"/>
        <v>0</v>
      </c>
      <c r="G122" s="93">
        <f t="shared" si="45"/>
        <v>0</v>
      </c>
      <c r="H122" s="93">
        <f t="shared" si="45"/>
        <v>0</v>
      </c>
      <c r="I122" s="93">
        <f t="shared" si="45"/>
        <v>0</v>
      </c>
      <c r="J122" s="93">
        <f t="shared" si="45"/>
        <v>0</v>
      </c>
      <c r="K122" s="93">
        <f t="shared" si="45"/>
        <v>0</v>
      </c>
      <c r="L122" s="93">
        <f t="shared" si="45"/>
        <v>0</v>
      </c>
      <c r="M122" s="93">
        <f t="shared" si="45"/>
        <v>0</v>
      </c>
      <c r="N122" s="93">
        <f t="shared" si="45"/>
        <v>0</v>
      </c>
      <c r="O122" s="93">
        <f t="shared" si="45"/>
        <v>0</v>
      </c>
      <c r="P122" s="93">
        <f t="shared" si="45"/>
        <v>0</v>
      </c>
      <c r="Q122" s="93">
        <f t="shared" si="45"/>
        <v>0</v>
      </c>
      <c r="R122" s="93">
        <f t="shared" si="45"/>
        <v>0</v>
      </c>
      <c r="S122" s="93">
        <f t="shared" si="45"/>
        <v>0</v>
      </c>
      <c r="T122" s="93">
        <f t="shared" si="45"/>
        <v>0</v>
      </c>
      <c r="U122" s="93">
        <f t="shared" si="45"/>
        <v>0</v>
      </c>
      <c r="V122" s="93">
        <f t="shared" si="45"/>
        <v>0</v>
      </c>
      <c r="W122" s="93">
        <f t="shared" si="45"/>
        <v>0</v>
      </c>
      <c r="X122" s="93">
        <f t="shared" si="45"/>
        <v>0</v>
      </c>
      <c r="Y122" s="93">
        <f t="shared" si="45"/>
        <v>0</v>
      </c>
      <c r="Z122" s="93">
        <f t="shared" si="45"/>
        <v>0</v>
      </c>
      <c r="AA122" s="93">
        <f t="shared" si="45"/>
        <v>0</v>
      </c>
      <c r="AB122" s="93">
        <f t="shared" si="45"/>
        <v>0</v>
      </c>
      <c r="AC122" s="93">
        <f t="shared" si="45"/>
        <v>0</v>
      </c>
      <c r="AD122" s="93">
        <f t="shared" si="45"/>
        <v>0</v>
      </c>
      <c r="AE122" s="93">
        <f t="shared" si="45"/>
        <v>0</v>
      </c>
      <c r="AF122" s="93">
        <f t="shared" si="45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:C123" si="46">SUM(B117:B122)</f>
        <v>529.20000000000005</v>
      </c>
      <c r="C123" s="70">
        <f t="shared" si="46"/>
        <v>445.4</v>
      </c>
      <c r="D123" s="70">
        <f t="shared" ref="B123:AF123" si="47">SUM(D117:D122)</f>
        <v>495</v>
      </c>
      <c r="E123" s="70">
        <f t="shared" si="47"/>
        <v>509.5</v>
      </c>
      <c r="F123" s="70">
        <f t="shared" si="47"/>
        <v>532.4</v>
      </c>
      <c r="G123" s="70">
        <f t="shared" si="47"/>
        <v>541</v>
      </c>
      <c r="H123" s="70">
        <f t="shared" si="47"/>
        <v>509</v>
      </c>
      <c r="I123" s="70">
        <f t="shared" si="47"/>
        <v>510.9</v>
      </c>
      <c r="J123" s="70">
        <f t="shared" si="47"/>
        <v>496</v>
      </c>
      <c r="K123" s="70">
        <f t="shared" si="47"/>
        <v>0</v>
      </c>
      <c r="L123" s="70">
        <f t="shared" si="47"/>
        <v>0</v>
      </c>
      <c r="M123" s="70">
        <f t="shared" si="47"/>
        <v>0</v>
      </c>
      <c r="N123" s="70">
        <f t="shared" si="47"/>
        <v>0</v>
      </c>
      <c r="O123" s="70">
        <f t="shared" si="47"/>
        <v>0</v>
      </c>
      <c r="P123" s="70">
        <f t="shared" si="47"/>
        <v>0</v>
      </c>
      <c r="Q123" s="70">
        <f t="shared" si="47"/>
        <v>0</v>
      </c>
      <c r="R123" s="70">
        <f t="shared" si="47"/>
        <v>0</v>
      </c>
      <c r="S123" s="70">
        <f t="shared" si="47"/>
        <v>0</v>
      </c>
      <c r="T123" s="70">
        <f t="shared" si="47"/>
        <v>0</v>
      </c>
      <c r="U123" s="70">
        <f t="shared" si="47"/>
        <v>0</v>
      </c>
      <c r="V123" s="70">
        <f t="shared" si="47"/>
        <v>0</v>
      </c>
      <c r="W123" s="70">
        <f t="shared" si="47"/>
        <v>0</v>
      </c>
      <c r="X123" s="70">
        <f t="shared" si="47"/>
        <v>0</v>
      </c>
      <c r="Y123" s="70">
        <f t="shared" si="47"/>
        <v>0</v>
      </c>
      <c r="Z123" s="70">
        <f t="shared" si="47"/>
        <v>0</v>
      </c>
      <c r="AA123" s="70">
        <f t="shared" si="47"/>
        <v>0</v>
      </c>
      <c r="AB123" s="70">
        <f t="shared" si="47"/>
        <v>0</v>
      </c>
      <c r="AC123" s="70">
        <f t="shared" si="47"/>
        <v>0</v>
      </c>
      <c r="AD123" s="70">
        <f t="shared" si="47"/>
        <v>0</v>
      </c>
      <c r="AE123" s="70">
        <f t="shared" si="47"/>
        <v>0</v>
      </c>
      <c r="AF123" s="70">
        <f t="shared" si="47"/>
        <v>0</v>
      </c>
      <c r="AG123" s="104"/>
      <c r="AH123" s="46">
        <f t="shared" si="23"/>
        <v>541</v>
      </c>
      <c r="AI123" s="47">
        <f t="shared" si="24"/>
        <v>0</v>
      </c>
      <c r="AJ123" s="105">
        <f t="array" ref="AJ123">MIN(IF(B123:AF123&lt;&gt;0,B123:AF123))</f>
        <v>445.4</v>
      </c>
    </row>
    <row r="124" spans="1:64" ht="15.75" thickBot="1" x14ac:dyDescent="0.3">
      <c r="A124" s="87" t="s">
        <v>146</v>
      </c>
      <c r="B124" s="70">
        <f t="shared" ref="B124:C124" si="48">B108-B123</f>
        <v>-441.00000000000006</v>
      </c>
      <c r="C124" s="70">
        <f t="shared" si="48"/>
        <v>-359.29999999999995</v>
      </c>
      <c r="D124" s="70">
        <f t="shared" ref="B124:AF124" si="49">D108-D123</f>
        <v>-416.7</v>
      </c>
      <c r="E124" s="70">
        <f t="shared" si="49"/>
        <v>-445.2</v>
      </c>
      <c r="F124" s="70">
        <f t="shared" si="49"/>
        <v>-464.2</v>
      </c>
      <c r="G124" s="70">
        <f t="shared" si="49"/>
        <v>-405.1</v>
      </c>
      <c r="H124" s="70">
        <f t="shared" si="49"/>
        <v>-369</v>
      </c>
      <c r="I124" s="70">
        <f t="shared" si="49"/>
        <v>-368.7</v>
      </c>
      <c r="J124" s="70">
        <f t="shared" si="49"/>
        <v>-355.5</v>
      </c>
      <c r="K124" s="70">
        <f t="shared" si="49"/>
        <v>0</v>
      </c>
      <c r="L124" s="70">
        <f t="shared" si="49"/>
        <v>0</v>
      </c>
      <c r="M124" s="70">
        <f t="shared" si="49"/>
        <v>0</v>
      </c>
      <c r="N124" s="70">
        <f t="shared" si="49"/>
        <v>0</v>
      </c>
      <c r="O124" s="70">
        <f t="shared" si="49"/>
        <v>0</v>
      </c>
      <c r="P124" s="70">
        <f t="shared" si="49"/>
        <v>0</v>
      </c>
      <c r="Q124" s="70">
        <f t="shared" si="49"/>
        <v>0</v>
      </c>
      <c r="R124" s="70">
        <f t="shared" si="49"/>
        <v>0</v>
      </c>
      <c r="S124" s="70">
        <f t="shared" si="49"/>
        <v>0</v>
      </c>
      <c r="T124" s="70">
        <f t="shared" si="49"/>
        <v>0</v>
      </c>
      <c r="U124" s="70">
        <f t="shared" si="49"/>
        <v>0</v>
      </c>
      <c r="V124" s="70">
        <f t="shared" si="49"/>
        <v>0</v>
      </c>
      <c r="W124" s="70">
        <f t="shared" si="49"/>
        <v>0</v>
      </c>
      <c r="X124" s="70">
        <f t="shared" si="49"/>
        <v>0</v>
      </c>
      <c r="Y124" s="70">
        <f t="shared" si="49"/>
        <v>0</v>
      </c>
      <c r="Z124" s="70">
        <f t="shared" si="49"/>
        <v>0</v>
      </c>
      <c r="AA124" s="70">
        <f t="shared" si="49"/>
        <v>0</v>
      </c>
      <c r="AB124" s="70">
        <f t="shared" si="49"/>
        <v>0</v>
      </c>
      <c r="AC124" s="70">
        <f t="shared" si="49"/>
        <v>0</v>
      </c>
      <c r="AD124" s="70">
        <f t="shared" si="49"/>
        <v>0</v>
      </c>
      <c r="AE124" s="70">
        <f t="shared" si="49"/>
        <v>0</v>
      </c>
      <c r="AF124" s="70">
        <f t="shared" si="49"/>
        <v>0</v>
      </c>
      <c r="AG124" s="104"/>
      <c r="AH124" s="46">
        <f t="shared" si="23"/>
        <v>0</v>
      </c>
      <c r="AI124" s="47">
        <f t="shared" si="24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50.064</v>
      </c>
      <c r="AI126" s="47">
        <f t="shared" si="24"/>
        <v>49.94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133.9</v>
      </c>
      <c r="AI127" s="47">
        <f t="shared" si="24"/>
        <v>130.69999999999999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131.80000000000001</v>
      </c>
      <c r="AI128" s="47">
        <f t="shared" si="24"/>
        <v>129.80000000000001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135.80000000000001</v>
      </c>
      <c r="AI130" s="47">
        <f t="shared" si="24"/>
        <v>132.5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0</v>
      </c>
      <c r="AI131" s="47">
        <f t="shared" si="24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134.19999999999999</v>
      </c>
      <c r="AI132" s="47">
        <f t="shared" si="24"/>
        <v>124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67.400000000000006</v>
      </c>
      <c r="AI133" s="47">
        <f t="shared" si="24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:C135" si="50">SUM(B26,B32,B45:B46,B82,B84:B85,B87,B89,B137:B142,B177,B183,B189,B198,B200,B212,B219,B222:B223,B230,B232,B234,B238:B240,B242:B244,B249,B255:B256,B258:B260,B161,B166)</f>
        <v>169.54</v>
      </c>
      <c r="C135" s="114">
        <f t="shared" si="50"/>
        <v>161.53999999999994</v>
      </c>
      <c r="D135" s="114">
        <f t="shared" ref="C135:O135" si="51">SUM(D26,D32,D45:D46,D82,D84:D85,D87,D89,D137:D142,D177,D183,D189,D198,D200,D212,D219,D222:D223,D230,D232,D234,D238:D240,D242:D244,D249,D255:D256,D258:D260,D161,D166)</f>
        <v>143.43999999999997</v>
      </c>
      <c r="E135" s="114">
        <f t="shared" si="51"/>
        <v>143.13999999999993</v>
      </c>
      <c r="F135" s="114">
        <f t="shared" si="51"/>
        <v>144.44</v>
      </c>
      <c r="G135" s="114">
        <f t="shared" si="51"/>
        <v>162.33999999999997</v>
      </c>
      <c r="H135" s="114">
        <f t="shared" si="51"/>
        <v>197.74</v>
      </c>
      <c r="I135" s="114">
        <f t="shared" si="51"/>
        <v>217.44</v>
      </c>
      <c r="J135" s="114">
        <f t="shared" si="51"/>
        <v>266.94</v>
      </c>
      <c r="K135" s="114">
        <f t="shared" si="51"/>
        <v>0.94</v>
      </c>
      <c r="L135" s="114">
        <f t="shared" si="51"/>
        <v>0.94</v>
      </c>
      <c r="M135" s="114">
        <f t="shared" si="51"/>
        <v>0.94</v>
      </c>
      <c r="N135" s="114">
        <f t="shared" si="51"/>
        <v>0.94</v>
      </c>
      <c r="O135" s="114">
        <f t="shared" si="51"/>
        <v>0.94</v>
      </c>
      <c r="P135" s="114">
        <v>42</v>
      </c>
      <c r="Q135" s="114">
        <f t="shared" ref="Q135:X135" si="52">SUM(Q26,Q32,Q45:Q46,Q82,Q84:Q85,Q87,Q89,Q137:Q142,Q177,Q183,Q189,Q198,Q200,Q212,Q219,Q222:Q223,Q230,Q232,Q234,Q238:Q240,Q242:Q244,Q249,Q255:Q256,Q258:Q260,Q161,Q166)</f>
        <v>0.94</v>
      </c>
      <c r="R135" s="114">
        <f t="shared" si="52"/>
        <v>0.94</v>
      </c>
      <c r="S135" s="114">
        <f t="shared" si="52"/>
        <v>0.94</v>
      </c>
      <c r="T135" s="114">
        <f t="shared" si="52"/>
        <v>0.94</v>
      </c>
      <c r="U135" s="114">
        <f t="shared" si="52"/>
        <v>0.94</v>
      </c>
      <c r="V135" s="114">
        <f t="shared" si="52"/>
        <v>0.94</v>
      </c>
      <c r="W135" s="114">
        <f t="shared" si="52"/>
        <v>0.94</v>
      </c>
      <c r="X135" s="114">
        <f t="shared" si="52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3"/>
        <v>0.94</v>
      </c>
      <c r="AC135" s="114">
        <f t="shared" si="53"/>
        <v>0.94</v>
      </c>
      <c r="AD135" s="114">
        <f t="shared" si="53"/>
        <v>0.94</v>
      </c>
      <c r="AE135" s="114">
        <f t="shared" si="53"/>
        <v>0.94</v>
      </c>
      <c r="AF135" s="114">
        <f t="shared" si="53"/>
        <v>0.94</v>
      </c>
      <c r="AG135" s="127"/>
      <c r="AH135" s="46">
        <f t="shared" si="23"/>
        <v>266.94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61.9</v>
      </c>
      <c r="AI137" s="47">
        <f t="shared" si="24"/>
        <v>48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28.8</v>
      </c>
      <c r="AI138" s="47">
        <f t="shared" si="24"/>
        <v>7.4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-76.2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81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15.6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24.3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125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-36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0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4">MAX(B146:AF146)</f>
        <v>-555.1</v>
      </c>
      <c r="AI146" s="47">
        <f t="shared" ref="AI146:AI158" si="55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4"/>
        <v>81.900000000000006</v>
      </c>
      <c r="AI147" s="47">
        <f t="shared" si="55"/>
        <v>62.9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4"/>
        <v>0</v>
      </c>
      <c r="AI148" s="47">
        <f t="shared" si="55"/>
        <v>0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4"/>
        <v>243.8</v>
      </c>
      <c r="AI149" s="47">
        <f t="shared" si="55"/>
        <v>235.2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4"/>
        <v>31.9</v>
      </c>
      <c r="AI150" s="47">
        <f t="shared" si="55"/>
        <v>31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4"/>
        <v>7.7</v>
      </c>
      <c r="AI151" s="47">
        <f t="shared" si="55"/>
        <v>6.1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4"/>
        <v>0</v>
      </c>
      <c r="AI152" s="47">
        <f t="shared" si="55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4"/>
        <v>1986.26</v>
      </c>
      <c r="AI153" s="47">
        <f t="shared" si="55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4"/>
        <v>0</v>
      </c>
      <c r="AI154" s="47">
        <f t="shared" si="55"/>
        <v>0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4"/>
        <v>624.94000000000005</v>
      </c>
      <c r="AI155" s="47">
        <f t="shared" si="55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4"/>
        <v>337.45</v>
      </c>
      <c r="AI156" s="47">
        <f t="shared" si="55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4"/>
        <v>882.9</v>
      </c>
      <c r="AI157" s="47">
        <f t="shared" si="55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4"/>
        <v>0</v>
      </c>
      <c r="AI158" s="47">
        <f t="shared" si="55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R166" si="56">C161</f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58">SUM(D161:D166)</f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59">C169</f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73">SUM(B169:B273)</f>
        <v>0</v>
      </c>
      <c r="C274" s="180">
        <f t="shared" ref="B274:AG274" si="74">SUM(C169:C273)</f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K11:AA13 AB12:AF13 K85:AF90 B9:AF10 D117:AF134 B113:C115 B108:C108 B117:C124 B153:C153 B93:C96 B76:D90 D137:AF159 D93:AF115 B72:L72 E76:AF77 E79:J90">
    <cfRule type="expression" dxfId="172" priority="106">
      <formula>B$9&gt;=20/24</formula>
    </cfRule>
  </conditionalFormatting>
  <conditionalFormatting sqref="B9:AF10 K11:AA13 AB12:AF13 K85:AF90 D117:AF134 B113:C115 B108:C108 B117:C124 B153:C153 B93:C96 B76:D90 D137:AF159 D93:AF115 B72:L72 E76:AF77 E79:J90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K14:AF53 B29:J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D161:AF167">
    <cfRule type="expression" dxfId="152" priority="65">
      <formula>D$9&gt;=20/24</formula>
    </cfRule>
    <cfRule type="expression" dxfId="151" priority="66">
      <formula>AND(D$9&gt;=14/24,D$9&lt;20/24)</formula>
    </cfRule>
    <cfRule type="expression" dxfId="150" priority="67">
      <formula>AND(D$9&gt;=8/24,D$9&lt;14/24)</formula>
    </cfRule>
    <cfRule type="expression" dxfId="149" priority="68">
      <formula>D$9&lt;8/24</formula>
    </cfRule>
  </conditionalFormatting>
  <conditionalFormatting sqref="C175:AF274 D169:AF1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K11:AA13 AB12:AF13 AF92:AF95 AF96:AG96 D91:AF91 D78:AG78 B71:AG71 B76:C96 D92:AE96 B69:AA69 D76:AF77 D79:AC90">
    <cfRule type="expression" dxfId="144" priority="105">
      <formula>B11&gt;$AG11*1</formula>
    </cfRule>
  </conditionalFormatting>
  <conditionalFormatting sqref="K83:O83 E79:J83">
    <cfRule type="expression" dxfId="143" priority="115">
      <formula>E$9&gt;=20/24</formula>
    </cfRule>
    <cfRule type="expression" dxfId="142" priority="116">
      <formula>AND(E$9&gt;=14/24,E$9&lt;20/24)</formula>
    </cfRule>
    <cfRule type="expression" dxfId="141" priority="117">
      <formula>AND(E$9&gt;=8/24,E$9&lt;14/24)</formula>
    </cfRule>
    <cfRule type="expression" dxfId="140" priority="118">
      <formula>E$9&lt;8/24</formula>
    </cfRule>
  </conditionalFormatting>
  <conditionalFormatting sqref="E84:O84">
    <cfRule type="expression" dxfId="139" priority="110">
      <formula>E$9&gt;=20/24</formula>
    </cfRule>
    <cfRule type="expression" dxfId="138" priority="111">
      <formula>AND(E$9&gt;=14/24,E$9&lt;20/24)</formula>
    </cfRule>
    <cfRule type="expression" dxfId="137" priority="112">
      <formula>AND(E$9&gt;=8/24,E$9&lt;14/24)</formula>
    </cfRule>
    <cfRule type="expression" dxfId="136" priority="113">
      <formula>E$9&lt;8/24</formula>
    </cfRule>
  </conditionalFormatting>
  <conditionalFormatting sqref="E78:AF78 K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J73:AF73 K74:AF75">
    <cfRule type="expression" dxfId="131" priority="35">
      <formula>J$9&gt;=20/24</formula>
    </cfRule>
    <cfRule type="expression" dxfId="130" priority="36">
      <formula>AND(J$9&gt;=14/24,J$9&lt;20/24)</formula>
    </cfRule>
    <cfRule type="expression" dxfId="129" priority="37">
      <formula>AND(J$9&gt;=8/24,J$9&lt;14/24)</formula>
    </cfRule>
    <cfRule type="expression" dxfId="128" priority="38">
      <formula>J$9&lt;8/24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C107 B137:C152 B109:C112 B125:C134 B154:C159 B11:J13">
    <cfRule type="expression" dxfId="22" priority="20">
      <formula>B$9&gt;=20/24</formula>
    </cfRule>
  </conditionalFormatting>
  <conditionalFormatting sqref="B97:C107 B137:C152 B109:C112 B125:C134 B154:C159 B11:J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J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C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 C169:C1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J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3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7:17" x14ac:dyDescent="0.25">
      <c r="Q33">
        <f>21+51+68+67-21+75+140</f>
        <v>401</v>
      </c>
    </row>
    <row r="34" spans="17:17" x14ac:dyDescent="0.25">
      <c r="Q34">
        <f>Q33-70</f>
        <v>331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2026-05-19T00:47:29Z</dcterms:modified>
</cp:coreProperties>
</file>