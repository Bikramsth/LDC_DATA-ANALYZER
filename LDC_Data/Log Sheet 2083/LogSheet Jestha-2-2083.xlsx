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81" l="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A89" i="81"/>
  <c r="AI89" i="81"/>
  <c r="AH89" i="81"/>
  <c r="BS88" i="81"/>
  <c r="BR88" i="81"/>
  <c r="BP88" i="81"/>
  <c r="BO88" i="81"/>
  <c r="BK88" i="81"/>
  <c r="BJ88" i="81"/>
  <c r="BH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L123" i="81" l="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<sst xmlns="http://schemas.openxmlformats.org/spreadsheetml/2006/main" count="3168" uniqueCount="431">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</sst>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5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74" sqref="L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5">SUM(G72:G77)</f>
        <v>608.4</v>
      </c>
      <c r="H78" s="70">
        <f t="shared" si="25"/>
        <v>586.4</v>
      </c>
      <c r="I78" s="70">
        <f t="shared" si="25"/>
        <v>586.4</v>
      </c>
      <c r="J78" s="70">
        <f t="shared" si="25"/>
        <v>648.5</v>
      </c>
      <c r="K78" s="70">
        <f t="shared" si="25"/>
        <v>648.5</v>
      </c>
      <c r="L78" s="70">
        <f t="shared" si="25"/>
        <v>645.5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-581</v>
      </c>
      <c r="BD79" s="81">
        <f t="shared" si="26"/>
        <v>-581</v>
      </c>
      <c r="BE79" s="82">
        <f>I97</f>
        <v>-540</v>
      </c>
      <c r="BF79" s="82">
        <f>K97</f>
        <v>-440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50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25.2</v>
      </c>
      <c r="BD80" s="81">
        <f t="shared" si="26"/>
        <v>25.2</v>
      </c>
      <c r="BE80" s="82">
        <f>I98</f>
        <v>21.5</v>
      </c>
      <c r="BF80" s="82">
        <f>K98</f>
        <v>36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19.7</v>
      </c>
      <c r="BD82" s="81">
        <f t="shared" si="26"/>
        <v>19.7</v>
      </c>
      <c r="BE82" s="82">
        <f>I100</f>
        <v>14.4</v>
      </c>
      <c r="BF82" s="82">
        <f>K100</f>
        <v>10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62.1</v>
      </c>
      <c r="BF83" s="82">
        <f>K101</f>
        <v>59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-581</v>
      </c>
      <c r="BD86" s="82">
        <f t="shared" si="30"/>
        <v>-581</v>
      </c>
      <c r="BE86" s="82">
        <f t="shared" si="30"/>
        <v>-540</v>
      </c>
      <c r="BF86" s="82">
        <f t="shared" si="30"/>
        <v>-440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25.2</v>
      </c>
      <c r="BD87" s="82">
        <f t="shared" si="30"/>
        <v>25.2</v>
      </c>
      <c r="BE87" s="82">
        <f t="shared" si="30"/>
        <v>21.5</v>
      </c>
      <c r="BF87" s="82">
        <f t="shared" si="30"/>
        <v>36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19.7</v>
      </c>
      <c r="BD89" s="82">
        <f t="shared" si="30"/>
        <v>19.7</v>
      </c>
      <c r="BE89" s="82">
        <f t="shared" si="30"/>
        <v>14.4</v>
      </c>
      <c r="BF89" s="82">
        <f t="shared" si="30"/>
        <v>10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62.1</v>
      </c>
      <c r="BF90" s="82">
        <f t="shared" si="30"/>
        <v>59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:F92" si="33">SUM(E79:E91)</f>
        <v>353.90000000000003</v>
      </c>
      <c r="F92" s="70">
        <f t="shared" si="33"/>
        <v>353.90000000000003</v>
      </c>
      <c r="G92" s="70">
        <f t="shared" si="32"/>
        <v>353.90000000000003</v>
      </c>
      <c r="H92" s="70">
        <f t="shared" si="32"/>
        <v>318.90000000000003</v>
      </c>
      <c r="I92" s="70">
        <f t="shared" si="32"/>
        <v>318.90000000000003</v>
      </c>
      <c r="J92" s="70">
        <f t="shared" si="32"/>
        <v>318.90000000000003</v>
      </c>
      <c r="K92" s="70">
        <f t="shared" si="32"/>
        <v>318.90000000000003</v>
      </c>
      <c r="L92" s="70">
        <f t="shared" si="32"/>
        <v>352.90000000000003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52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52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-440</v>
      </c>
      <c r="AI97" s="47">
        <f t="shared" si="23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52.3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63.1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95.199999999999989</v>
      </c>
      <c r="G108" s="70">
        <f t="shared" si="37"/>
        <v>95.199999999999989</v>
      </c>
      <c r="H108" s="70">
        <f t="shared" si="37"/>
        <v>144.32999999999998</v>
      </c>
      <c r="I108" s="70">
        <f t="shared" si="37"/>
        <v>142.5</v>
      </c>
      <c r="J108" s="70">
        <f t="shared" si="37"/>
        <v>137.5</v>
      </c>
      <c r="K108" s="70">
        <f t="shared" si="37"/>
        <v>136</v>
      </c>
      <c r="L108" s="70">
        <f t="shared" si="37"/>
        <v>170.4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170.4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2175.66</v>
      </c>
      <c r="G113" s="108">
        <f t="shared" si="39"/>
        <v>2196.66</v>
      </c>
      <c r="H113" s="108">
        <f t="shared" si="39"/>
        <v>2198.79</v>
      </c>
      <c r="I113" s="108">
        <f t="shared" si="39"/>
        <v>2196.96</v>
      </c>
      <c r="J113" s="108">
        <f t="shared" si="39"/>
        <v>2254.06</v>
      </c>
      <c r="K113" s="108">
        <f t="shared" si="39"/>
        <v>2252.56</v>
      </c>
      <c r="L113" s="108">
        <f t="shared" si="39"/>
        <v>2369.96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2369.96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2175.66</v>
      </c>
      <c r="G115" s="108">
        <f t="shared" si="41"/>
        <v>2196.66</v>
      </c>
      <c r="H115" s="108">
        <f t="shared" si="41"/>
        <v>2198.79</v>
      </c>
      <c r="I115" s="108">
        <f t="shared" si="41"/>
        <v>2196.96</v>
      </c>
      <c r="J115" s="108">
        <f t="shared" si="41"/>
        <v>2254.06</v>
      </c>
      <c r="K115" s="108">
        <f t="shared" si="41"/>
        <v>2252.56</v>
      </c>
      <c r="L115" s="108">
        <f t="shared" si="41"/>
        <v>2369.96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2369.96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1594.6599999999999</v>
      </c>
      <c r="G116" s="108">
        <f t="shared" si="43"/>
        <v>1615.6599999999999</v>
      </c>
      <c r="H116" s="108">
        <f t="shared" si="43"/>
        <v>1598.79</v>
      </c>
      <c r="I116" s="108">
        <f t="shared" si="43"/>
        <v>1656.96</v>
      </c>
      <c r="J116" s="108">
        <f t="shared" si="43"/>
        <v>1746.06</v>
      </c>
      <c r="K116" s="108">
        <f t="shared" si="43"/>
        <v>1812.56</v>
      </c>
      <c r="L116" s="108">
        <f t="shared" si="43"/>
        <v>1881.96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581</v>
      </c>
      <c r="G117" s="93">
        <f t="shared" si="44"/>
        <v>581</v>
      </c>
      <c r="H117" s="93">
        <f t="shared" si="44"/>
        <v>600</v>
      </c>
      <c r="I117" s="93">
        <f t="shared" si="44"/>
        <v>540</v>
      </c>
      <c r="J117" s="93">
        <f t="shared" si="44"/>
        <v>508</v>
      </c>
      <c r="K117" s="93">
        <f t="shared" si="44"/>
        <v>440</v>
      </c>
      <c r="L117" s="93">
        <f t="shared" si="44"/>
        <v>488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600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581</v>
      </c>
      <c r="G123" s="70">
        <f t="shared" si="46"/>
        <v>581</v>
      </c>
      <c r="H123" s="70">
        <f t="shared" si="46"/>
        <v>600</v>
      </c>
      <c r="I123" s="70">
        <f t="shared" si="46"/>
        <v>540</v>
      </c>
      <c r="J123" s="70">
        <f t="shared" si="46"/>
        <v>508</v>
      </c>
      <c r="K123" s="70">
        <f t="shared" si="46"/>
        <v>440</v>
      </c>
      <c r="L123" s="70">
        <f t="shared" si="46"/>
        <v>488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600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-485.8</v>
      </c>
      <c r="G124" s="70">
        <f t="shared" si="48"/>
        <v>-485.8</v>
      </c>
      <c r="H124" s="70">
        <f t="shared" si="48"/>
        <v>-455.67</v>
      </c>
      <c r="I124" s="70">
        <f t="shared" si="48"/>
        <v>-397.5</v>
      </c>
      <c r="J124" s="70">
        <f t="shared" si="48"/>
        <v>-370.5</v>
      </c>
      <c r="K124" s="70">
        <f t="shared" si="48"/>
        <v>-304</v>
      </c>
      <c r="L124" s="70">
        <f t="shared" si="48"/>
        <v>-317.60000000000002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132.1</v>
      </c>
      <c r="AI128" s="47">
        <f t="shared" si="23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135.69999999999999</v>
      </c>
      <c r="AI130" s="47">
        <f t="shared" si="23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132.80000000000001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131.5</v>
      </c>
      <c r="AI132" s="47">
        <f t="shared" si="23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-629.06000000000006</v>
      </c>
      <c r="G135" s="114">
        <f t="shared" si="50"/>
        <v>-629.06000000000006</v>
      </c>
      <c r="H135" s="114">
        <f t="shared" si="50"/>
        <v>179.64</v>
      </c>
      <c r="I135" s="114">
        <f t="shared" si="50"/>
        <v>176.54</v>
      </c>
      <c r="J135" s="114">
        <f t="shared" si="50"/>
        <v>189.44</v>
      </c>
      <c r="K135" s="114">
        <f t="shared" si="50"/>
        <v>250.34</v>
      </c>
      <c r="L135" s="114">
        <f t="shared" si="50"/>
        <v>250.34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63.3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55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78.8</v>
      </c>
      <c r="AI147" s="47">
        <f t="shared" si="54"/>
        <v>47.3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-25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B113:B115 C109:AF115 B108:AF108 B117:B124 C154:AF159 B153:AF153 B76:F90 C97:AF107 B93:AF96 C117:AF134 C137:AF152 G79:L90 G76:AF77 B72:L72">
    <cfRule type="expression" dxfId="172" priority="106">
      <formula>B$9&gt;=20/24</formula>
    </cfRule>
  </conditionalFormatting>
  <conditionalFormatting sqref="B9:AF10 M11:AA13 AB12:AF13 K85:AF90 B113:B115 C109:AF115 B108:AF108 B117:B124 C154:AF159 B153:AF153 B76:F90 C97:AF107 B93:AF96 C117:AF134 C137:AF152 G79:L90 G76:AF77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B96:AG96 G78:AG78 B71:AG71 B76:F95 G91:AF95 G79:AC90 G76:AF77 B69:AA69">
    <cfRule type="expression" dxfId="144" priority="105">
      <formula>B11&gt;$AG11*1</formula>
    </cfRule>
  </conditionalFormatting>
  <conditionalFormatting sqref="K83:O83 G79:L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M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M73:AF75">
    <cfRule type="expression" dxfId="131" priority="35">
      <formula>M$9&gt;=20/24</formula>
    </cfRule>
    <cfRule type="expression" dxfId="130" priority="36">
      <formula>AND(M$9&gt;=14/24,M$9&lt;20/24)</formula>
    </cfRule>
    <cfRule type="expression" dxfId="129" priority="37">
      <formula>AND(M$9&gt;=8/24,M$9&lt;14/24)</formula>
    </cfRule>
    <cfRule type="expression" dxfId="128" priority="38">
      <formula>M$9&lt;8/24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L13">
    <cfRule type="expression" dxfId="22" priority="20">
      <formula>B$9&gt;=20/24</formula>
    </cfRule>
  </conditionalFormatting>
  <conditionalFormatting sqref="B97:B107 B137:B152 B109:B112 B125:B134 B154:B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2026-05-21T02:14:46Z</dcterms:modified>
</cp:coreProperties>
</file>