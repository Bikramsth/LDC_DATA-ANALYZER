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3"/>
  </bookViews>
  <sheets>
    <sheet name="01" sheetId="72" r:id="rId1"/>
    <sheet name="02" sheetId="74" r:id="rId2"/>
    <sheet name="03" sheetId="75" r:id="rId3"/>
    <sheet name="04" sheetId="76" r:id="rId4"/>
    <sheet name="Sample" sheetId="1" r:id="rId5"/>
    <sheet name="Schedule dont delete " sheetId="73" r:id="rId6"/>
    <sheet name="Calc" sheetId="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8">#REF!</definedName>
    <definedName name="a" localSheetId="7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8">#REF!</definedName>
    <definedName name="IPP" localSheetId="7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8">#REF!</definedName>
    <definedName name="ippp" localSheetId="7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8">#REF!</definedName>
    <definedName name="samolea" localSheetId="7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8">#REF!</definedName>
    <definedName name="sampke1" localSheetId="7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8">#REF!</definedName>
    <definedName name="sample" localSheetId="7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8">#REF!</definedName>
    <definedName name="SAMPLE1" localSheetId="7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8">#REF!</definedName>
    <definedName name="sdasdf" localSheetId="7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70" i="76" l="1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AD123" i="76" l="1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R116" i="76" l="1"/>
  <c r="Q116" i="76"/>
  <c r="P70" i="76" l="1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P123" i="76" l="1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O116" i="76" l="1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D70" i="76" l="1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D124" i="76" l="1"/>
  <c r="D113" i="76"/>
  <c r="D115" i="76" s="1"/>
  <c r="D116" i="76" s="1"/>
  <c r="C116" i="76"/>
  <c r="C70" i="76" l="1"/>
  <c r="B70" i="76" l="1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AF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AF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AF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AF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AF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AF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AF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AF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AF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AF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AF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AF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AF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AF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AF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AF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AF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AF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AF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AF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AF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AF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AF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AF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AF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AF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AF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AF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AF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AF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AF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AF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AF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AF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AF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AF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AF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AF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AF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AF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AF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AF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AF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AF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AF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AF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AF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AF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AF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AF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AF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AF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AF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AF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AF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AF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AF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AF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AF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AF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AF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AF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AF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AF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AF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AF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AF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AF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AF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AF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AF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AF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AF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AF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AF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AF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AF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AF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AF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AF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AF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AF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AF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AF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AF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AF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AF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AF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AE181" i="76" s="1"/>
  <c r="AF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AE180" i="76" s="1"/>
  <c r="AF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AE179" i="76" s="1"/>
  <c r="AF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AE178" i="76" s="1"/>
  <c r="AF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AE176" i="76" s="1"/>
  <c r="AF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AE175" i="76" s="1"/>
  <c r="AF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AE174" i="76" s="1"/>
  <c r="AF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AE173" i="76" s="1"/>
  <c r="AF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AE172" i="76" s="1"/>
  <c r="AF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AE171" i="76" s="1"/>
  <c r="AF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AE166" i="76" s="1"/>
  <c r="AF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AE165" i="76" s="1"/>
  <c r="AF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AE164" i="76" s="1"/>
  <c r="AF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AE163" i="76" s="1"/>
  <c r="AF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AE162" i="76" s="1"/>
  <c r="AF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AF123" i="76"/>
  <c r="BJ23" i="76" s="1"/>
  <c r="AF122" i="76"/>
  <c r="AE122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F121" i="76"/>
  <c r="AE121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F120" i="76"/>
  <c r="AE120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F119" i="76"/>
  <c r="AE119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F118" i="76"/>
  <c r="AE118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AF117" i="76"/>
  <c r="AE117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F108" i="76"/>
  <c r="AE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AF96" i="76"/>
  <c r="AE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AF92" i="76"/>
  <c r="AE92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U91" i="76"/>
  <c r="BS91" i="76"/>
  <c r="BQ91" i="76"/>
  <c r="BM91" i="76"/>
  <c r="BE91" i="76"/>
  <c r="AI91" i="76"/>
  <c r="AH91" i="76"/>
  <c r="AG91" i="76"/>
  <c r="AG92" i="76" s="1"/>
  <c r="BV90" i="76"/>
  <c r="BU90" i="76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V87" i="76"/>
  <c r="BU87" i="76"/>
  <c r="BT87" i="76"/>
  <c r="BN87" i="76"/>
  <c r="BM87" i="76"/>
  <c r="AI87" i="76"/>
  <c r="AH87" i="76"/>
  <c r="BV86" i="76"/>
  <c r="BU86" i="76"/>
  <c r="BP86" i="76"/>
  <c r="AI86" i="76"/>
  <c r="AH86" i="76"/>
  <c r="AI85" i="76"/>
  <c r="AH85" i="76"/>
  <c r="BW84" i="76"/>
  <c r="BW91" i="76" s="1"/>
  <c r="BV84" i="76"/>
  <c r="BV91" i="76" s="1"/>
  <c r="BU84" i="76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U83" i="76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U80" i="76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U79" i="76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AF78" i="76"/>
  <c r="AE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AF71" i="76"/>
  <c r="AE71" i="76"/>
  <c r="BI16" i="76" s="1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BG22" i="76" l="1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E123" i="76"/>
  <c r="AI120" i="76"/>
  <c r="AF124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113" i="76"/>
  <c r="AF115" i="76" s="1"/>
  <c r="AF116" i="76" s="1"/>
  <c r="AF7" i="76" s="1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113" i="76"/>
  <c r="AE115" i="76" s="1"/>
  <c r="AE116" i="76" s="1"/>
  <c r="AE7" i="76" s="1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U116" i="76" l="1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AE170" i="76" s="1"/>
  <c r="AF170" i="76" s="1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AE124" i="76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I124" i="76" l="1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I183" i="76" l="1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L177" i="76" l="1"/>
  <c r="G274" i="76"/>
  <c r="H169" i="76"/>
  <c r="H161" i="76"/>
  <c r="G167" i="76"/>
  <c r="G135" i="76"/>
  <c r="J183" i="76"/>
  <c r="Y116" i="75"/>
  <c r="S116" i="75"/>
  <c r="I161" i="76" l="1"/>
  <c r="H167" i="76"/>
  <c r="H135" i="76"/>
  <c r="H274" i="76"/>
  <c r="I169" i="76"/>
  <c r="K183" i="76"/>
  <c r="I167" i="76" l="1"/>
  <c r="J161" i="76"/>
  <c r="I135" i="76"/>
  <c r="I274" i="76"/>
  <c r="J169" i="76"/>
  <c r="L183" i="76"/>
  <c r="J274" i="76" l="1"/>
  <c r="K169" i="76"/>
  <c r="K161" i="76"/>
  <c r="J167" i="76"/>
  <c r="J135" i="76"/>
  <c r="K167" i="76" l="1"/>
  <c r="L161" i="76"/>
  <c r="K135" i="76"/>
  <c r="K274" i="76"/>
  <c r="L169" i="76"/>
  <c r="L274" i="76" l="1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S177" i="76" l="1"/>
  <c r="P123" i="75"/>
  <c r="P124" i="75" s="1"/>
  <c r="P113" i="75"/>
  <c r="P115" i="75" s="1"/>
  <c r="P116" i="75" s="1"/>
  <c r="T177" i="76" l="1"/>
  <c r="U177" i="76" l="1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T183" i="76" l="1"/>
  <c r="V177" i="76"/>
  <c r="O123" i="75"/>
  <c r="O124" i="75" s="1"/>
  <c r="O113" i="75"/>
  <c r="O115" i="75" s="1"/>
  <c r="O116" i="75" s="1"/>
  <c r="W177" i="76" l="1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S161" i="76" l="1"/>
  <c r="V183" i="76"/>
  <c r="S169" i="76"/>
  <c r="X177" i="76"/>
  <c r="N123" i="75"/>
  <c r="N124" i="75" s="1"/>
  <c r="N116" i="75"/>
  <c r="M123" i="75"/>
  <c r="M124" i="75" s="1"/>
  <c r="M113" i="75"/>
  <c r="M115" i="75" s="1"/>
  <c r="Y177" i="76" l="1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AE177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F177" i="76" l="1"/>
  <c r="Y161" i="76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AF183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AE169" i="76"/>
  <c r="AE161" i="76"/>
  <c r="L135" i="75"/>
  <c r="K274" i="75"/>
  <c r="L169" i="75"/>
  <c r="L167" i="75"/>
  <c r="AE274" i="76" l="1"/>
  <c r="AF169" i="76"/>
  <c r="AF274" i="76" s="1"/>
  <c r="AE167" i="76"/>
  <c r="AF161" i="76"/>
  <c r="AE135" i="76"/>
  <c r="L274" i="75"/>
  <c r="AF167" i="76" l="1"/>
  <c r="AF135" i="76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<sst xmlns="http://schemas.openxmlformats.org/spreadsheetml/2006/main" count="1884" uniqueCount="418">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</sst>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97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71" priority="47">
      <formula>$AH11=0</formula>
    </cfRule>
  </conditionalFormatting>
  <conditionalFormatting sqref="A101:A102">
    <cfRule type="expression" dxfId="970" priority="215">
      <formula>$AH106=0</formula>
    </cfRule>
  </conditionalFormatting>
  <conditionalFormatting sqref="A103:A107">
    <cfRule type="expression" dxfId="969" priority="163">
      <formula>$AH102=0</formula>
    </cfRule>
  </conditionalFormatting>
  <conditionalFormatting sqref="A160:A167">
    <cfRule type="expression" dxfId="968" priority="216">
      <formula>$AH267=0</formula>
    </cfRule>
  </conditionalFormatting>
  <conditionalFormatting sqref="A168:A275">
    <cfRule type="expression" dxfId="967" priority="86">
      <formula>$AH168=0</formula>
    </cfRule>
  </conditionalFormatting>
  <conditionalFormatting sqref="B8">
    <cfRule type="expression" dxfId="966" priority="211">
      <formula>AND(C$9&gt;=14/24,C$9&lt;20/24)</formula>
    </cfRule>
    <cfRule type="expression" dxfId="965" priority="212">
      <formula>AND(C$9&gt;=8/24,C$9&lt;14/24)</formula>
    </cfRule>
    <cfRule type="expression" dxfId="964" priority="213">
      <formula>C$9&lt;8/24</formula>
    </cfRule>
    <cfRule type="expression" dxfId="96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1" priority="129">
      <formula>AND(B$9&gt;=14/24,B$9&lt;20/24)</formula>
    </cfRule>
    <cfRule type="expression" dxfId="960" priority="130">
      <formula>AND(B$9&gt;=8/24,B$9&lt;14/24)</formula>
    </cfRule>
    <cfRule type="expression" dxfId="959" priority="131">
      <formula>B$9&lt;8/24</formula>
    </cfRule>
  </conditionalFormatting>
  <conditionalFormatting sqref="B29:Y53">
    <cfRule type="expression" dxfId="958" priority="71">
      <formula>B29&gt;$AG29*1</formula>
    </cfRule>
    <cfRule type="expression" dxfId="957" priority="72">
      <formula>B$9&gt;=20/24</formula>
    </cfRule>
    <cfRule type="expression" dxfId="956" priority="73">
      <formula>AND(B$9&gt;=14/24,B$9&lt;20/24)</formula>
    </cfRule>
    <cfRule type="expression" dxfId="955" priority="74">
      <formula>AND(B$9&gt;=8/24,B$9&lt;14/24)</formula>
    </cfRule>
    <cfRule type="expression" dxfId="954" priority="75">
      <formula>B$9&lt;8/24</formula>
    </cfRule>
  </conditionalFormatting>
  <conditionalFormatting sqref="B54:Y68">
    <cfRule type="expression" dxfId="953" priority="64">
      <formula>B$9&lt;8/24</formula>
    </cfRule>
  </conditionalFormatting>
  <conditionalFormatting sqref="B54:Y70">
    <cfRule type="expression" dxfId="952" priority="61">
      <formula>B$9&gt;=20/24</formula>
    </cfRule>
    <cfRule type="expression" dxfId="951" priority="62">
      <formula>AND(B$9&gt;=14/24,B$9&lt;20/24)</formula>
    </cfRule>
    <cfRule type="expression" dxfId="950" priority="63">
      <formula>AND(B$9&gt;=8/24,B$9&lt;14/24)</formula>
    </cfRule>
  </conditionalFormatting>
  <conditionalFormatting sqref="B63:Y65">
    <cfRule type="expression" dxfId="949" priority="65">
      <formula>B63&gt;$AG63</formula>
    </cfRule>
  </conditionalFormatting>
  <conditionalFormatting sqref="B69:Y70">
    <cfRule type="expression" dxfId="948" priority="136">
      <formula>B$9&lt;8/24</formula>
    </cfRule>
  </conditionalFormatting>
  <conditionalFormatting sqref="B72:AF75">
    <cfRule type="expression" dxfId="947" priority="52">
      <formula>B72&gt;$AG72*1</formula>
    </cfRule>
  </conditionalFormatting>
  <conditionalFormatting sqref="B73:AF75">
    <cfRule type="expression" dxfId="946" priority="53">
      <formula>B$9&gt;=20/24</formula>
    </cfRule>
    <cfRule type="expression" dxfId="945" priority="54">
      <formula>AND(B$9&gt;=14/24,B$9&lt;20/24)</formula>
    </cfRule>
    <cfRule type="expression" dxfId="944" priority="55">
      <formula>AND(B$9&gt;=8/24,B$9&lt;14/24)</formula>
    </cfRule>
    <cfRule type="expression" dxfId="943" priority="56">
      <formula>B$9&lt;8/24</formula>
    </cfRule>
  </conditionalFormatting>
  <conditionalFormatting sqref="F161:AF167">
    <cfRule type="expression" dxfId="942" priority="87">
      <formula>F$9&gt;=20/24</formula>
    </cfRule>
    <cfRule type="expression" dxfId="941" priority="88">
      <formula>AND(F$9&gt;=14/24,F$9&lt;20/24)</formula>
    </cfRule>
    <cfRule type="expression" dxfId="940" priority="89">
      <formula>AND(F$9&gt;=8/24,F$9&lt;14/24)</formula>
    </cfRule>
    <cfRule type="expression" dxfId="939" priority="90">
      <formula>F$9&lt;8/24</formula>
    </cfRule>
  </conditionalFormatting>
  <conditionalFormatting sqref="F169:AF274">
    <cfRule type="expression" dxfId="938" priority="48">
      <formula>F$9&gt;=20/24</formula>
    </cfRule>
    <cfRule type="expression" dxfId="937" priority="49">
      <formula>AND(F$9&gt;=14/24,F$9&lt;20/24)</formula>
    </cfRule>
    <cfRule type="expression" dxfId="936" priority="50">
      <formula>AND(F$9&gt;=8/24,F$9&lt;14/24)</formula>
    </cfRule>
    <cfRule type="expression" dxfId="935" priority="51">
      <formula>F$9&lt;8/24</formula>
    </cfRule>
  </conditionalFormatting>
  <conditionalFormatting sqref="AF96:AG96 B71:AG71 Z78:AG78 X91:AF91 B76:W96 B69:Y69 X76:Y90 X92:AE96 Z76:AF77 Z79:AF90 AF92:AF95">
    <cfRule type="expression" dxfId="934" priority="127">
      <formula>B69&gt;$AG69*1</formula>
    </cfRule>
  </conditionalFormatting>
  <conditionalFormatting sqref="F79:Y83">
    <cfRule type="expression" dxfId="933" priority="137">
      <formula>F$9&gt;=20/24</formula>
    </cfRule>
    <cfRule type="expression" dxfId="932" priority="138">
      <formula>AND(F$9&gt;=14/24,F$9&lt;20/24)</formula>
    </cfRule>
    <cfRule type="expression" dxfId="931" priority="139">
      <formula>AND(F$9&gt;=8/24,F$9&lt;14/24)</formula>
    </cfRule>
    <cfRule type="expression" dxfId="930" priority="140">
      <formula>F$9&lt;8/24</formula>
    </cfRule>
  </conditionalFormatting>
  <conditionalFormatting sqref="F84:Y84">
    <cfRule type="expression" dxfId="929" priority="132">
      <formula>F$9&gt;=20/24</formula>
    </cfRule>
    <cfRule type="expression" dxfId="928" priority="133">
      <formula>AND(F$9&gt;=14/24,F$9&lt;20/24)</formula>
    </cfRule>
    <cfRule type="expression" dxfId="927" priority="134">
      <formula>AND(F$9&gt;=8/24,F$9&lt;14/24)</formula>
    </cfRule>
    <cfRule type="expression" dxfId="926" priority="135">
      <formula>F$9&lt;8/24</formula>
    </cfRule>
  </conditionalFormatting>
  <conditionalFormatting sqref="F78:AF78 B72:AF72">
    <cfRule type="expression" dxfId="925" priority="147">
      <formula>B$9&gt;=20/24</formula>
    </cfRule>
    <cfRule type="expression" dxfId="924" priority="148">
      <formula>AND(B$9&gt;=14/24,B$9&lt;20/24)</formula>
    </cfRule>
    <cfRule type="expression" dxfId="923" priority="149">
      <formula>AND(B$9&gt;=8/24,B$9&lt;14/24)</formula>
    </cfRule>
    <cfRule type="expression" dxfId="922" priority="150">
      <formula>B$9&lt;8/24</formula>
    </cfRule>
  </conditionalFormatting>
  <conditionalFormatting sqref="F79:Y81">
    <cfRule type="expression" dxfId="921" priority="155">
      <formula>F$9&gt;=20/24</formula>
    </cfRule>
    <cfRule type="expression" dxfId="920" priority="156">
      <formula>AND(F$9&gt;=14/24,F$9&lt;20/24)</formula>
    </cfRule>
    <cfRule type="expression" dxfId="919" priority="157">
      <formula>AND(F$9&gt;=8/24,F$9&lt;14/24)</formula>
    </cfRule>
    <cfRule type="expression" dxfId="918" priority="158">
      <formula>F$9&lt;8/24</formula>
    </cfRule>
  </conditionalFormatting>
  <conditionalFormatting sqref="L84:AF84">
    <cfRule type="expression" dxfId="917" priority="151">
      <formula>L$9&gt;=20/24</formula>
    </cfRule>
    <cfRule type="expression" dxfId="916" priority="152">
      <formula>AND(L$9&gt;=14/24,L$9&lt;20/24)</formula>
    </cfRule>
    <cfRule type="expression" dxfId="915" priority="153">
      <formula>AND(L$9&gt;=8/24,L$9&lt;14/24)</formula>
    </cfRule>
    <cfRule type="expression" dxfId="914" priority="154">
      <formula>L$9&lt;8/24</formula>
    </cfRule>
  </conditionalFormatting>
  <conditionalFormatting sqref="M8 S8 AB8">
    <cfRule type="expression" dxfId="913" priority="204">
      <formula>AND(N$9&gt;=14/24,N$9&lt;20/24)</formula>
    </cfRule>
    <cfRule type="expression" dxfId="912" priority="205">
      <formula>AND(N$9&gt;=8/24,N$9&lt;14/24)</formula>
    </cfRule>
    <cfRule type="expression" dxfId="911" priority="206">
      <formula>N$9&lt;8/24</formula>
    </cfRule>
  </conditionalFormatting>
  <conditionalFormatting sqref="T79:Y83 Z80:AF83">
    <cfRule type="expression" dxfId="910" priority="159">
      <formula>T$9&gt;=20/24</formula>
    </cfRule>
    <cfRule type="expression" dxfId="909" priority="160">
      <formula>AND(T$9&gt;=14/24,T$9&lt;20/24)</formula>
    </cfRule>
    <cfRule type="expression" dxfId="908" priority="161">
      <formula>AND(T$9&gt;=8/24,T$9&lt;14/24)</formula>
    </cfRule>
    <cfRule type="expression" dxfId="90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03">
      <formula>N$9&gt;=20/24</formula>
    </cfRule>
  </conditionalFormatting>
  <conditionalFormatting sqref="S8">
    <cfRule type="expression" dxfId="905" priority="194">
      <formula>U$9&gt;=20/24</formula>
    </cfRule>
    <cfRule type="expression" dxfId="904" priority="195">
      <formula>AND(U$9&gt;=14/24,U$9&lt;20/24)</formula>
    </cfRule>
    <cfRule type="expression" dxfId="903" priority="196">
      <formula>AND(U$9&gt;=8/24,U$9&lt;14/24)</formula>
    </cfRule>
    <cfRule type="expression" dxfId="902" priority="197">
      <formula>U$9&lt;8/24</formula>
    </cfRule>
  </conditionalFormatting>
  <conditionalFormatting sqref="T79:AF84">
    <cfRule type="expression" dxfId="901" priority="81">
      <formula>T$9&gt;=20/24</formula>
    </cfRule>
    <cfRule type="expression" dxfId="900" priority="82">
      <formula>AND(T$9&gt;=14/24,T$9&lt;20/24)</formula>
    </cfRule>
    <cfRule type="expression" dxfId="899" priority="83">
      <formula>AND(T$9&gt;=8/24,T$9&lt;14/24)</formula>
    </cfRule>
    <cfRule type="expression" dxfId="89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897" priority="141">
      <formula>B54&gt;$AG54</formula>
    </cfRule>
  </conditionalFormatting>
  <conditionalFormatting sqref="AB8">
    <cfRule type="expression" dxfId="896" priority="190">
      <formula>AD$9&gt;=20/24</formula>
    </cfRule>
    <cfRule type="expression" dxfId="895" priority="191">
      <formula>AND(AD$9&gt;=14/24,AD$9&lt;20/24)</formula>
    </cfRule>
    <cfRule type="expression" dxfId="894" priority="192">
      <formula>AND(AD$9&gt;=8/24,AD$9&lt;14/24)</formula>
    </cfRule>
    <cfRule type="expression" dxfId="893" priority="193">
      <formula>AD$9&lt;8/24</formula>
    </cfRule>
  </conditionalFormatting>
  <conditionalFormatting sqref="AG78">
    <cfRule type="expression" dxfId="892" priority="169">
      <formula>AG$9&gt;=20/24</formula>
    </cfRule>
    <cfRule type="expression" dxfId="891" priority="170">
      <formula>AND(AG$9&gt;=14/24,AG$9&lt;20/24)</formula>
    </cfRule>
    <cfRule type="expression" dxfId="890" priority="171">
      <formula>AND(AG$9&gt;=8/24,AG$9&lt;14/24)</formula>
    </cfRule>
    <cfRule type="expression" dxfId="889" priority="172">
      <formula>AG$9&lt;8/24</formula>
    </cfRule>
  </conditionalFormatting>
  <conditionalFormatting sqref="AG91:AG92">
    <cfRule type="expression" dxfId="888" priority="164">
      <formula>AG91&gt;$AG91</formula>
    </cfRule>
  </conditionalFormatting>
  <conditionalFormatting sqref="AG96">
    <cfRule type="expression" dxfId="887" priority="165">
      <formula>AG$9&gt;=20/24</formula>
    </cfRule>
    <cfRule type="expression" dxfId="886" priority="166">
      <formula>AND(AG$9&gt;=14/24,AG$9&lt;20/24)</formula>
    </cfRule>
    <cfRule type="expression" dxfId="885" priority="167">
      <formula>AND(AG$9&gt;=8/24,AG$9&lt;14/24)</formula>
    </cfRule>
    <cfRule type="expression" dxfId="884" priority="168">
      <formula>AG$9&lt;8/24</formula>
    </cfRule>
  </conditionalFormatting>
  <conditionalFormatting sqref="AG113">
    <cfRule type="expression" dxfId="883" priority="186">
      <formula>AG$9&gt;=20/24</formula>
    </cfRule>
    <cfRule type="expression" dxfId="882" priority="187">
      <formula>AND(AG$9&gt;=14/24,AG$9&lt;20/24)</formula>
    </cfRule>
    <cfRule type="expression" dxfId="881" priority="188">
      <formula>AND(AG$9&gt;=8/24,AG$9&lt;14/24)</formula>
    </cfRule>
    <cfRule type="expression" dxfId="880" priority="189">
      <formula>AG$9&lt;8/24</formula>
    </cfRule>
  </conditionalFormatting>
  <conditionalFormatting sqref="AH8:AI10">
    <cfRule type="expression" dxfId="879" priority="77">
      <formula>AH$9&gt;=20/24</formula>
    </cfRule>
    <cfRule type="expression" dxfId="878" priority="78">
      <formula>AND(AH$9&gt;=14/24,AH$9&lt;20/24)</formula>
    </cfRule>
    <cfRule type="expression" dxfId="877" priority="79">
      <formula>AND(AH$9&gt;=8/24,AH$9&lt;14/24)</formula>
    </cfRule>
    <cfRule type="expression" dxfId="87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75" priority="207">
      <formula>AJ$9&gt;=20/24</formula>
    </cfRule>
    <cfRule type="expression" dxfId="874" priority="208">
      <formula>AND(AJ$9&gt;=14/24,AJ$9&lt;20/24)</formula>
    </cfRule>
    <cfRule type="expression" dxfId="873" priority="209">
      <formula>AND(AJ$9&gt;=8/24,AJ$9&lt;14/24)</formula>
    </cfRule>
    <cfRule type="expression" dxfId="872" priority="210">
      <formula>AJ$9&lt;8/24</formula>
    </cfRule>
  </conditionalFormatting>
  <conditionalFormatting sqref="AL99:AN99 AL105:AN105">
    <cfRule type="expression" dxfId="871" priority="179">
      <formula>AL$9&gt;=20/24</formula>
    </cfRule>
    <cfRule type="expression" dxfId="870" priority="180">
      <formula>AND(AL$9&gt;=14/24,AL$9&lt;20/24)</formula>
    </cfRule>
    <cfRule type="expression" dxfId="869" priority="181">
      <formula>AND(AL$9&gt;=8/24,AL$9&lt;14/24)</formula>
    </cfRule>
    <cfRule type="expression" dxfId="868" priority="182">
      <formula>AL$9&lt;8/24</formula>
    </cfRule>
  </conditionalFormatting>
  <conditionalFormatting sqref="AM15:AM21 AN16:AR21">
    <cfRule type="expression" dxfId="867" priority="103">
      <formula>AX$9&gt;=20/24</formula>
    </cfRule>
    <cfRule type="expression" dxfId="866" priority="104">
      <formula>AND(AX$9&gt;=14/24,AX$9&lt;20/24)</formula>
    </cfRule>
    <cfRule type="expression" dxfId="865" priority="105">
      <formula>AND(AX$9&gt;=8/24,AX$9&lt;14/24)</formula>
    </cfRule>
    <cfRule type="expression" dxfId="864" priority="106">
      <formula>AX$9&lt;8/24</formula>
    </cfRule>
  </conditionalFormatting>
  <conditionalFormatting sqref="AN100:AN103">
    <cfRule type="expression" dxfId="863" priority="175">
      <formula>AN$9&gt;=20/24</formula>
    </cfRule>
    <cfRule type="expression" dxfId="862" priority="176">
      <formula>AND(AN$9&gt;=14/24,AN$9&lt;20/24)</formula>
    </cfRule>
    <cfRule type="expression" dxfId="861" priority="177">
      <formula>AND(AN$9&gt;=8/24,AN$9&lt;14/24)</formula>
    </cfRule>
    <cfRule type="expression" dxfId="860" priority="178">
      <formula>AN$9&lt;8/24</formula>
    </cfRule>
  </conditionalFormatting>
  <conditionalFormatting sqref="AN15:AR15">
    <cfRule type="expression" dxfId="859" priority="91">
      <formula>U$9&gt;=20/24</formula>
    </cfRule>
    <cfRule type="expression" dxfId="858" priority="92">
      <formula>AND(U$9&gt;=14/24,U$9&lt;20/24)</formula>
    </cfRule>
    <cfRule type="expression" dxfId="857" priority="93">
      <formula>AND(U$9&gt;=8/24,U$9&lt;14/24)</formula>
    </cfRule>
    <cfRule type="expression" dxfId="856" priority="94">
      <formula>U$9&lt;8/24</formula>
    </cfRule>
  </conditionalFormatting>
  <conditionalFormatting sqref="AS15">
    <cfRule type="expression" dxfId="855" priority="99">
      <formula>AA$9&gt;=20/24</formula>
    </cfRule>
    <cfRule type="expression" dxfId="854" priority="100">
      <formula>AND(AA$9&gt;=14/24,AA$9&lt;20/24)</formula>
    </cfRule>
    <cfRule type="expression" dxfId="853" priority="101">
      <formula>AND(AA$9&gt;=8/24,AA$9&lt;14/24)</formula>
    </cfRule>
    <cfRule type="expression" dxfId="852" priority="102">
      <formula>AA$9&lt;8/24</formula>
    </cfRule>
  </conditionalFormatting>
  <conditionalFormatting sqref="AS16:AS21">
    <cfRule type="expression" dxfId="851" priority="107">
      <formula>BE$9&gt;=20/24</formula>
    </cfRule>
    <cfRule type="expression" dxfId="850" priority="108">
      <formula>AND(BE$9&gt;=14/24,BE$9&lt;20/24)</formula>
    </cfRule>
    <cfRule type="expression" dxfId="849" priority="109">
      <formula>AND(BE$9&gt;=8/24,BE$9&lt;14/24)</formula>
    </cfRule>
    <cfRule type="expression" dxfId="848" priority="110">
      <formula>BE$9&lt;8/24</formula>
    </cfRule>
  </conditionalFormatting>
  <conditionalFormatting sqref="AT15 AX15:BJ15">
    <cfRule type="expression" dxfId="847" priority="111">
      <formula>AC$9&gt;=20/24</formula>
    </cfRule>
    <cfRule type="expression" dxfId="846" priority="112">
      <formula>AND(AC$9&gt;=14/24,AC$9&lt;20/24)</formula>
    </cfRule>
    <cfRule type="expression" dxfId="845" priority="113">
      <formula>AND(AC$9&gt;=8/24,AC$9&lt;14/24)</formula>
    </cfRule>
    <cfRule type="expression" dxfId="844" priority="114">
      <formula>AC$9&lt;8/24</formula>
    </cfRule>
  </conditionalFormatting>
  <conditionalFormatting sqref="AT16:AT21">
    <cfRule type="expression" dxfId="843" priority="115">
      <formula>BG$9&gt;=20/24</formula>
    </cfRule>
    <cfRule type="expression" dxfId="842" priority="116">
      <formula>AND(BG$9&gt;=14/24,BG$9&lt;20/24)</formula>
    </cfRule>
    <cfRule type="expression" dxfId="841" priority="117">
      <formula>AND(BG$9&gt;=8/24,BG$9&lt;14/24)</formula>
    </cfRule>
    <cfRule type="expression" dxfId="840" priority="118">
      <formula>BG$9&lt;8/24</formula>
    </cfRule>
  </conditionalFormatting>
  <conditionalFormatting sqref="AU15:AV15">
    <cfRule type="expression" dxfId="839" priority="119">
      <formula>AE$9&gt;=20/24</formula>
    </cfRule>
    <cfRule type="expression" dxfId="838" priority="120">
      <formula>AND(AE$9&gt;=14/24,AE$9&lt;20/24)</formula>
    </cfRule>
    <cfRule type="expression" dxfId="837" priority="121">
      <formula>AND(AE$9&gt;=8/24,AE$9&lt;14/24)</formula>
    </cfRule>
    <cfRule type="expression" dxfId="836" priority="122">
      <formula>AE$9&lt;8/24</formula>
    </cfRule>
  </conditionalFormatting>
  <conditionalFormatting sqref="AU16:BJ21">
    <cfRule type="expression" dxfId="835" priority="123">
      <formula>BI$9&gt;=20/24</formula>
    </cfRule>
    <cfRule type="expression" dxfId="834" priority="124">
      <formula>AND(BI$9&gt;=14/24,BI$9&lt;20/24)</formula>
    </cfRule>
    <cfRule type="expression" dxfId="833" priority="125">
      <formula>AND(BI$9&gt;=8/24,BI$9&lt;14/24)</formula>
    </cfRule>
    <cfRule type="expression" dxfId="832" priority="126">
      <formula>BI$9&lt;8/24</formula>
    </cfRule>
  </conditionalFormatting>
  <conditionalFormatting sqref="AW15">
    <cfRule type="expression" dxfId="831" priority="95">
      <formula>B$9&gt;=20/24</formula>
    </cfRule>
    <cfRule type="expression" dxfId="830" priority="96">
      <formula>AND(B$9&gt;=14/24,B$9&lt;20/24)</formula>
    </cfRule>
    <cfRule type="expression" dxfId="829" priority="97">
      <formula>AND(B$9&gt;=8/24,B$9&lt;14/24)</formula>
    </cfRule>
    <cfRule type="expression" dxfId="828" priority="98">
      <formula>B$9&lt;8/24</formula>
    </cfRule>
  </conditionalFormatting>
  <conditionalFormatting sqref="A73">
    <cfRule type="expression" dxfId="827" priority="46">
      <formula>$AH73=0</formula>
    </cfRule>
  </conditionalFormatting>
  <conditionalFormatting sqref="B97:E107 B137:E152 B109:E112 B125:E134 B154:E159 F97:F102 G98:G102 F126:G133 F137:G151 B11:Y13 AA11:AF13">
    <cfRule type="expression" dxfId="826" priority="42">
      <formula>B$9&gt;=20/24</formula>
    </cfRule>
  </conditionalFormatting>
  <conditionalFormatting sqref="B97:E107 B137:E152 B109:E112 B125:E134 B154:E159 F97:F102 G98:G102 F126:G133 F137:G151 B11:Y13 AA11:AF13">
    <cfRule type="expression" dxfId="825" priority="43">
      <formula>AND(B$9&gt;=14/24,B$9&lt;20/24)</formula>
    </cfRule>
    <cfRule type="expression" dxfId="824" priority="44">
      <formula>AND(B$9&gt;=8/24,B$9&lt;14/24)</formula>
    </cfRule>
    <cfRule type="expression" dxfId="823" priority="45">
      <formula>B$9&lt;8/24</formula>
    </cfRule>
  </conditionalFormatting>
  <conditionalFormatting sqref="B14:Y28 AA14:AF16">
    <cfRule type="expression" dxfId="822" priority="32">
      <formula>B14&gt;$AG14*1</formula>
    </cfRule>
    <cfRule type="expression" dxfId="821" priority="33">
      <formula>B$9&gt;=20/24</formula>
    </cfRule>
    <cfRule type="expression" dxfId="820" priority="34">
      <formula>AND(B$9&gt;=14/24,B$9&lt;20/24)</formula>
    </cfRule>
    <cfRule type="expression" dxfId="819" priority="35">
      <formula>AND(B$9&gt;=8/24,B$9&lt;14/24)</formula>
    </cfRule>
    <cfRule type="expression" dxfId="818" priority="36">
      <formula>B$9&lt;8/24</formula>
    </cfRule>
  </conditionalFormatting>
  <conditionalFormatting sqref="B161:E167">
    <cfRule type="expression" dxfId="817" priority="37">
      <formula>B$9&gt;=20/24</formula>
    </cfRule>
    <cfRule type="expression" dxfId="816" priority="38">
      <formula>AND(B$9&gt;=14/24,B$9&lt;20/24)</formula>
    </cfRule>
    <cfRule type="expression" dxfId="815" priority="39">
      <formula>AND(B$9&gt;=8/24,B$9&lt;14/24)</formula>
    </cfRule>
    <cfRule type="expression" dxfId="814" priority="40">
      <formula>B$9&lt;8/24</formula>
    </cfRule>
  </conditionalFormatting>
  <conditionalFormatting sqref="B169:E274">
    <cfRule type="expression" dxfId="813" priority="28">
      <formula>B$9&gt;=20/24</formula>
    </cfRule>
    <cfRule type="expression" dxfId="812" priority="29">
      <formula>AND(B$9&gt;=14/24,B$9&lt;20/24)</formula>
    </cfRule>
    <cfRule type="expression" dxfId="811" priority="30">
      <formula>AND(B$9&gt;=8/24,B$9&lt;14/24)</formula>
    </cfRule>
    <cfRule type="expression" dxfId="810" priority="31">
      <formula>B$9&lt;8/24</formula>
    </cfRule>
  </conditionalFormatting>
  <conditionalFormatting sqref="B11:Y13 AA11:AF13">
    <cfRule type="expression" dxfId="809" priority="41">
      <formula>B11&gt;$AG11*1</formula>
    </cfRule>
  </conditionalFormatting>
  <conditionalFormatting sqref="A153">
    <cfRule type="expression" dxfId="80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23">
      <formula>AL$9&gt;=20/24</formula>
    </cfRule>
  </conditionalFormatting>
  <conditionalFormatting sqref="AL153">
    <cfRule type="expression" dxfId="806" priority="24">
      <formula>AND(AL$9&gt;=14/24,AL$9&lt;20/24)</formula>
    </cfRule>
    <cfRule type="expression" dxfId="805" priority="25">
      <formula>AND(AL$9&gt;=8/24,AL$9&lt;14/24)</formula>
    </cfRule>
    <cfRule type="expression" dxfId="804" priority="26">
      <formula>AL$9&lt;8/24</formula>
    </cfRule>
  </conditionalFormatting>
  <conditionalFormatting sqref="Z56:AF68">
    <cfRule type="expression" dxfId="803" priority="1">
      <formula>Z$9&gt;=20/24</formula>
    </cfRule>
    <cfRule type="expression" dxfId="802" priority="2">
      <formula>AND(Z$9&gt;=14/24,Z$9&lt;20/24)</formula>
    </cfRule>
    <cfRule type="expression" dxfId="801" priority="3">
      <formula>AND(Z$9&gt;=8/24,Z$9&lt;14/24)</formula>
    </cfRule>
  </conditionalFormatting>
  <conditionalFormatting sqref="Z11:Z13">
    <cfRule type="expression" dxfId="800" priority="17">
      <formula>Z$9&gt;=20/24</formula>
    </cfRule>
  </conditionalFormatting>
  <conditionalFormatting sqref="Z11:Z13">
    <cfRule type="expression" dxfId="799" priority="18">
      <formula>AND(Z$9&gt;=14/24,Z$9&lt;20/24)</formula>
    </cfRule>
    <cfRule type="expression" dxfId="798" priority="19">
      <formula>AND(Z$9&gt;=8/24,Z$9&lt;14/24)</formula>
    </cfRule>
    <cfRule type="expression" dxfId="797" priority="20">
      <formula>Z$9&lt;8/24</formula>
    </cfRule>
  </conditionalFormatting>
  <conditionalFormatting sqref="Z14:Z53 AA17:AF53">
    <cfRule type="expression" dxfId="796" priority="11">
      <formula>Z14&gt;$AG14*1</formula>
    </cfRule>
    <cfRule type="expression" dxfId="795" priority="12">
      <formula>Z$9&gt;=20/24</formula>
    </cfRule>
    <cfRule type="expression" dxfId="794" priority="13">
      <formula>AND(Z$9&gt;=14/24,Z$9&lt;20/24)</formula>
    </cfRule>
    <cfRule type="expression" dxfId="793" priority="14">
      <formula>AND(Z$9&gt;=8/24,Z$9&lt;14/24)</formula>
    </cfRule>
    <cfRule type="expression" dxfId="792" priority="15">
      <formula>Z$9&lt;8/24</formula>
    </cfRule>
  </conditionalFormatting>
  <conditionalFormatting sqref="Z54:AF55">
    <cfRule type="expression" dxfId="791" priority="10">
      <formula>Z$9&lt;8/24</formula>
    </cfRule>
  </conditionalFormatting>
  <conditionalFormatting sqref="Z54:AF55 Z69:AF70">
    <cfRule type="expression" dxfId="790" priority="7">
      <formula>Z$9&gt;=20/24</formula>
    </cfRule>
    <cfRule type="expression" dxfId="789" priority="8">
      <formula>AND(Z$9&gt;=14/24,Z$9&lt;20/24)</formula>
    </cfRule>
    <cfRule type="expression" dxfId="788" priority="9">
      <formula>AND(Z$9&gt;=8/24,Z$9&lt;14/24)</formula>
    </cfRule>
  </conditionalFormatting>
  <conditionalFormatting sqref="Z69:AF70">
    <cfRule type="expression" dxfId="787" priority="21">
      <formula>Z$9&lt;8/24</formula>
    </cfRule>
  </conditionalFormatting>
  <conditionalFormatting sqref="Z11:Z13 Z69:AF69">
    <cfRule type="expression" dxfId="786" priority="16">
      <formula>Z11&gt;$AG11*1</formula>
    </cfRule>
  </conditionalFormatting>
  <conditionalFormatting sqref="Z54:AF55 Z69:AF70">
    <cfRule type="expression" dxfId="785" priority="22">
      <formula>Z54&gt;$AG54</formula>
    </cfRule>
  </conditionalFormatting>
  <conditionalFormatting sqref="Z56:AF68">
    <cfRule type="expression" dxfId="784" priority="4">
      <formula>Z$9&lt;8/24</formula>
    </cfRule>
  </conditionalFormatting>
  <conditionalFormatting sqref="Z63:AF65">
    <cfRule type="expression" dxfId="783" priority="5">
      <formula>Z63&gt;$AG63</formula>
    </cfRule>
  </conditionalFormatting>
  <conditionalFormatting sqref="Z66:AF68 Z56:AF62">
    <cfRule type="expression" dxfId="78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11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81" priority="97">
      <formula>$AH11=0</formula>
    </cfRule>
  </conditionalFormatting>
  <conditionalFormatting sqref="A101:A102">
    <cfRule type="expression" dxfId="780" priority="265">
      <formula>$AH106=0</formula>
    </cfRule>
  </conditionalFormatting>
  <conditionalFormatting sqref="A103:A107">
    <cfRule type="expression" dxfId="779" priority="213">
      <formula>$AH102=0</formula>
    </cfRule>
  </conditionalFormatting>
  <conditionalFormatting sqref="A160:A167">
    <cfRule type="expression" dxfId="778" priority="266">
      <formula>$AH267=0</formula>
    </cfRule>
  </conditionalFormatting>
  <conditionalFormatting sqref="A168:A275">
    <cfRule type="expression" dxfId="777" priority="136">
      <formula>$AH168=0</formula>
    </cfRule>
  </conditionalFormatting>
  <conditionalFormatting sqref="B8">
    <cfRule type="expression" dxfId="776" priority="261">
      <formula>AND(C$9&gt;=14/24,C$9&lt;20/24)</formula>
    </cfRule>
    <cfRule type="expression" dxfId="775" priority="262">
      <formula>AND(C$9&gt;=8/24,C$9&lt;14/24)</formula>
    </cfRule>
    <cfRule type="expression" dxfId="774" priority="263">
      <formula>C$9&lt;8/24</formula>
    </cfRule>
    <cfRule type="expression" dxfId="77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1" priority="179">
      <formula>AND(B$9&gt;=14/24,B$9&lt;20/24)</formula>
    </cfRule>
    <cfRule type="expression" dxfId="770" priority="180">
      <formula>AND(B$9&gt;=8/24,B$9&lt;14/24)</formula>
    </cfRule>
    <cfRule type="expression" dxfId="769" priority="181">
      <formula>B$9&lt;8/24</formula>
    </cfRule>
  </conditionalFormatting>
  <conditionalFormatting sqref="AA14:AF53">
    <cfRule type="expression" dxfId="768" priority="121">
      <formula>AA14&gt;$AG14*1</formula>
    </cfRule>
    <cfRule type="expression" dxfId="767" priority="122">
      <formula>AA$9&gt;=20/24</formula>
    </cfRule>
    <cfRule type="expression" dxfId="766" priority="123">
      <formula>AND(AA$9&gt;=14/24,AA$9&lt;20/24)</formula>
    </cfRule>
    <cfRule type="expression" dxfId="765" priority="124">
      <formula>AND(AA$9&gt;=8/24,AA$9&lt;14/24)</formula>
    </cfRule>
    <cfRule type="expression" dxfId="764" priority="125">
      <formula>AA$9&lt;8/24</formula>
    </cfRule>
  </conditionalFormatting>
  <conditionalFormatting sqref="AA54:AF68">
    <cfRule type="expression" dxfId="763" priority="114">
      <formula>AA$9&lt;8/24</formula>
    </cfRule>
  </conditionalFormatting>
  <conditionalFormatting sqref="AA54:AF70">
    <cfRule type="expression" dxfId="762" priority="111">
      <formula>AA$9&gt;=20/24</formula>
    </cfRule>
    <cfRule type="expression" dxfId="761" priority="112">
      <formula>AND(AA$9&gt;=14/24,AA$9&lt;20/24)</formula>
    </cfRule>
    <cfRule type="expression" dxfId="760" priority="113">
      <formula>AND(AA$9&gt;=8/24,AA$9&lt;14/24)</formula>
    </cfRule>
  </conditionalFormatting>
  <conditionalFormatting sqref="AA63:AF65">
    <cfRule type="expression" dxfId="759" priority="115">
      <formula>AA63&gt;$AG63</formula>
    </cfRule>
  </conditionalFormatting>
  <conditionalFormatting sqref="AA69:AF70">
    <cfRule type="expression" dxfId="758" priority="186">
      <formula>AA$9&lt;8/24</formula>
    </cfRule>
  </conditionalFormatting>
  <conditionalFormatting sqref="AA72:AF75">
    <cfRule type="expression" dxfId="757" priority="102">
      <formula>AA72&gt;$AG72*1</formula>
    </cfRule>
  </conditionalFormatting>
  <conditionalFormatting sqref="AA73:AF75">
    <cfRule type="expression" dxfId="756" priority="103">
      <formula>AA$9&gt;=20/24</formula>
    </cfRule>
    <cfRule type="expression" dxfId="755" priority="104">
      <formula>AND(AA$9&gt;=14/24,AA$9&lt;20/24)</formula>
    </cfRule>
    <cfRule type="expression" dxfId="754" priority="105">
      <formula>AND(AA$9&gt;=8/24,AA$9&lt;14/24)</formula>
    </cfRule>
    <cfRule type="expression" dxfId="753" priority="106">
      <formula>AA$9&lt;8/24</formula>
    </cfRule>
  </conditionalFormatting>
  <conditionalFormatting sqref="C161:AF167">
    <cfRule type="expression" dxfId="752" priority="137">
      <formula>C$9&gt;=20/24</formula>
    </cfRule>
    <cfRule type="expression" dxfId="751" priority="138">
      <formula>AND(C$9&gt;=14/24,C$9&lt;20/24)</formula>
    </cfRule>
    <cfRule type="expression" dxfId="750" priority="139">
      <formula>AND(C$9&gt;=8/24,C$9&lt;14/24)</formula>
    </cfRule>
    <cfRule type="expression" dxfId="749" priority="140">
      <formula>C$9&lt;8/24</formula>
    </cfRule>
  </conditionalFormatting>
  <conditionalFormatting sqref="C169:AF274">
    <cfRule type="expression" dxfId="748" priority="98">
      <formula>C$9&gt;=20/24</formula>
    </cfRule>
    <cfRule type="expression" dxfId="747" priority="99">
      <formula>AND(C$9&gt;=14/24,C$9&lt;20/24)</formula>
    </cfRule>
    <cfRule type="expression" dxfId="746" priority="100">
      <formula>AND(C$9&gt;=8/24,C$9&lt;14/24)</formula>
    </cfRule>
    <cfRule type="expression" dxfId="745" priority="101">
      <formula>C$9&lt;8/24</formula>
    </cfRule>
  </conditionalFormatting>
  <conditionalFormatting sqref="B96:M96 B91:D92 E91:M95 AA96:AG96 N91:Z96 B71:AG71 B78:AG78 AA11:AF13 AA69:AF70 AA76:AF77 AA79:AF95">
    <cfRule type="expression" dxfId="744" priority="177">
      <formula>B11&gt;$AG11*1</formula>
    </cfRule>
  </conditionalFormatting>
  <conditionalFormatting sqref="G78:AF78 AA72:AF72 AA76:AF77">
    <cfRule type="expression" dxfId="743" priority="197">
      <formula>G$9&gt;=20/24</formula>
    </cfRule>
    <cfRule type="expression" dxfId="742" priority="198">
      <formula>AND(G$9&gt;=14/24,G$9&lt;20/24)</formula>
    </cfRule>
    <cfRule type="expression" dxfId="741" priority="199">
      <formula>AND(G$9&gt;=8/24,G$9&lt;14/24)</formula>
    </cfRule>
    <cfRule type="expression" dxfId="740" priority="200">
      <formula>G$9&lt;8/24</formula>
    </cfRule>
  </conditionalFormatting>
  <conditionalFormatting sqref="AA73:AF75">
    <cfRule type="expression" dxfId="739" priority="107">
      <formula>AA$9&gt;=20/24</formula>
    </cfRule>
    <cfRule type="expression" dxfId="738" priority="108">
      <formula>AND(AA$9&gt;=14/24,AA$9&lt;20/24)</formula>
    </cfRule>
    <cfRule type="expression" dxfId="737" priority="109">
      <formula>AND(AA$9&gt;=8/24,AA$9&lt;14/24)</formula>
    </cfRule>
    <cfRule type="expression" dxfId="736" priority="110">
      <formula>AA$9&lt;8/24</formula>
    </cfRule>
  </conditionalFormatting>
  <conditionalFormatting sqref="AA84:AF84">
    <cfRule type="expression" dxfId="735" priority="201">
      <formula>AA$9&gt;=20/24</formula>
    </cfRule>
    <cfRule type="expression" dxfId="734" priority="202">
      <formula>AND(AA$9&gt;=14/24,AA$9&lt;20/24)</formula>
    </cfRule>
    <cfRule type="expression" dxfId="733" priority="203">
      <formula>AND(AA$9&gt;=8/24,AA$9&lt;14/24)</formula>
    </cfRule>
    <cfRule type="expression" dxfId="732" priority="204">
      <formula>AA$9&lt;8/24</formula>
    </cfRule>
  </conditionalFormatting>
  <conditionalFormatting sqref="M8 S8 AB8">
    <cfRule type="expression" dxfId="731" priority="254">
      <formula>AND(N$9&gt;=14/24,N$9&lt;20/24)</formula>
    </cfRule>
    <cfRule type="expression" dxfId="730" priority="255">
      <formula>AND(N$9&gt;=8/24,N$9&lt;14/24)</formula>
    </cfRule>
    <cfRule type="expression" dxfId="729" priority="256">
      <formula>N$9&lt;8/24</formula>
    </cfRule>
  </conditionalFormatting>
  <conditionalFormatting sqref="AA80:AF83">
    <cfRule type="expression" dxfId="728" priority="209">
      <formula>AA$9&gt;=20/24</formula>
    </cfRule>
    <cfRule type="expression" dxfId="727" priority="210">
      <formula>AND(AA$9&gt;=14/24,AA$9&lt;20/24)</formula>
    </cfRule>
    <cfRule type="expression" dxfId="726" priority="211">
      <formula>AND(AA$9&gt;=8/24,AA$9&lt;14/24)</formula>
    </cfRule>
    <cfRule type="expression" dxfId="72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53">
      <formula>N$9&gt;=20/24</formula>
    </cfRule>
  </conditionalFormatting>
  <conditionalFormatting sqref="S8">
    <cfRule type="expression" dxfId="723" priority="244">
      <formula>U$9&gt;=20/24</formula>
    </cfRule>
    <cfRule type="expression" dxfId="722" priority="245">
      <formula>AND(U$9&gt;=14/24,U$9&lt;20/24)</formula>
    </cfRule>
    <cfRule type="expression" dxfId="721" priority="246">
      <formula>AND(U$9&gt;=8/24,U$9&lt;14/24)</formula>
    </cfRule>
    <cfRule type="expression" dxfId="720" priority="247">
      <formula>U$9&lt;8/24</formula>
    </cfRule>
  </conditionalFormatting>
  <conditionalFormatting sqref="AA79:AF84">
    <cfRule type="expression" dxfId="719" priority="131">
      <formula>AA$9&gt;=20/24</formula>
    </cfRule>
    <cfRule type="expression" dxfId="718" priority="132">
      <formula>AND(AA$9&gt;=14/24,AA$9&lt;20/24)</formula>
    </cfRule>
    <cfRule type="expression" dxfId="717" priority="133">
      <formula>AND(AA$9&gt;=8/24,AA$9&lt;14/24)</formula>
    </cfRule>
    <cfRule type="expression" dxfId="71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715" priority="116">
      <formula>AA$9&gt;=20/24</formula>
    </cfRule>
    <cfRule type="expression" dxfId="714" priority="117">
      <formula>AND(AA$9&gt;=14/24,AA$9&lt;20/24)</formula>
    </cfRule>
    <cfRule type="expression" dxfId="713" priority="118">
      <formula>AND(AA$9&gt;=8/24,AA$9&lt;14/24)</formula>
    </cfRule>
    <cfRule type="expression" dxfId="712" priority="119">
      <formula>AA$9&lt;8/24</formula>
    </cfRule>
  </conditionalFormatting>
  <conditionalFormatting sqref="AA54:AF62 AA66:AF69">
    <cfRule type="expression" dxfId="710" priority="191">
      <formula>AA54&gt;$AG54</formula>
    </cfRule>
  </conditionalFormatting>
  <conditionalFormatting sqref="AB8">
    <cfRule type="expression" dxfId="709" priority="240">
      <formula>AD$9&gt;=20/24</formula>
    </cfRule>
    <cfRule type="expression" dxfId="708" priority="241">
      <formula>AND(AD$9&gt;=14/24,AD$9&lt;20/24)</formula>
    </cfRule>
    <cfRule type="expression" dxfId="707" priority="242">
      <formula>AND(AD$9&gt;=8/24,AD$9&lt;14/24)</formula>
    </cfRule>
    <cfRule type="expression" dxfId="706" priority="243">
      <formula>AD$9&lt;8/24</formula>
    </cfRule>
  </conditionalFormatting>
  <conditionalFormatting sqref="AG78">
    <cfRule type="expression" dxfId="700" priority="219">
      <formula>AG$9&gt;=20/24</formula>
    </cfRule>
    <cfRule type="expression" dxfId="699" priority="220">
      <formula>AND(AG$9&gt;=14/24,AG$9&lt;20/24)</formula>
    </cfRule>
    <cfRule type="expression" dxfId="698" priority="221">
      <formula>AND(AG$9&gt;=8/24,AG$9&lt;14/24)</formula>
    </cfRule>
    <cfRule type="expression" dxfId="697" priority="222">
      <formula>AG$9&lt;8/24</formula>
    </cfRule>
  </conditionalFormatting>
  <conditionalFormatting sqref="AG91:AG92">
    <cfRule type="expression" dxfId="696" priority="214">
      <formula>AG91&gt;$AG91</formula>
    </cfRule>
  </conditionalFormatting>
  <conditionalFormatting sqref="AG96">
    <cfRule type="expression" dxfId="695" priority="215">
      <formula>AG$9&gt;=20/24</formula>
    </cfRule>
    <cfRule type="expression" dxfId="694" priority="216">
      <formula>AND(AG$9&gt;=14/24,AG$9&lt;20/24)</formula>
    </cfRule>
    <cfRule type="expression" dxfId="693" priority="217">
      <formula>AND(AG$9&gt;=8/24,AG$9&lt;14/24)</formula>
    </cfRule>
    <cfRule type="expression" dxfId="692" priority="218">
      <formula>AG$9&lt;8/24</formula>
    </cfRule>
  </conditionalFormatting>
  <conditionalFormatting sqref="AG113">
    <cfRule type="expression" dxfId="691" priority="236">
      <formula>AG$9&gt;=20/24</formula>
    </cfRule>
    <cfRule type="expression" dxfId="690" priority="237">
      <formula>AND(AG$9&gt;=14/24,AG$9&lt;20/24)</formula>
    </cfRule>
    <cfRule type="expression" dxfId="689" priority="238">
      <formula>AND(AG$9&gt;=8/24,AG$9&lt;14/24)</formula>
    </cfRule>
    <cfRule type="expression" dxfId="688" priority="239">
      <formula>AG$9&lt;8/24</formula>
    </cfRule>
  </conditionalFormatting>
  <conditionalFormatting sqref="AH8:AI10">
    <cfRule type="expression" dxfId="687" priority="127">
      <formula>AH$9&gt;=20/24</formula>
    </cfRule>
    <cfRule type="expression" dxfId="686" priority="128">
      <formula>AND(AH$9&gt;=14/24,AH$9&lt;20/24)</formula>
    </cfRule>
    <cfRule type="expression" dxfId="685" priority="129">
      <formula>AND(AH$9&gt;=8/24,AH$9&lt;14/24)</formula>
    </cfRule>
    <cfRule type="expression" dxfId="68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83" priority="257">
      <formula>AJ$9&gt;=20/24</formula>
    </cfRule>
    <cfRule type="expression" dxfId="682" priority="258">
      <formula>AND(AJ$9&gt;=14/24,AJ$9&lt;20/24)</formula>
    </cfRule>
    <cfRule type="expression" dxfId="681" priority="259">
      <formula>AND(AJ$9&gt;=8/24,AJ$9&lt;14/24)</formula>
    </cfRule>
    <cfRule type="expression" dxfId="680" priority="260">
      <formula>AJ$9&lt;8/24</formula>
    </cfRule>
  </conditionalFormatting>
  <conditionalFormatting sqref="AL99:AN99 AL105:AN105">
    <cfRule type="expression" dxfId="679" priority="229">
      <formula>AL$9&gt;=20/24</formula>
    </cfRule>
    <cfRule type="expression" dxfId="678" priority="230">
      <formula>AND(AL$9&gt;=14/24,AL$9&lt;20/24)</formula>
    </cfRule>
    <cfRule type="expression" dxfId="677" priority="231">
      <formula>AND(AL$9&gt;=8/24,AL$9&lt;14/24)</formula>
    </cfRule>
    <cfRule type="expression" dxfId="676" priority="232">
      <formula>AL$9&lt;8/24</formula>
    </cfRule>
  </conditionalFormatting>
  <conditionalFormatting sqref="AM15:AM21 AN16:AR21">
    <cfRule type="expression" dxfId="675" priority="153">
      <formula>AX$9&gt;=20/24</formula>
    </cfRule>
    <cfRule type="expression" dxfId="674" priority="154">
      <formula>AND(AX$9&gt;=14/24,AX$9&lt;20/24)</formula>
    </cfRule>
    <cfRule type="expression" dxfId="673" priority="155">
      <formula>AND(AX$9&gt;=8/24,AX$9&lt;14/24)</formula>
    </cfRule>
    <cfRule type="expression" dxfId="672" priority="156">
      <formula>AX$9&lt;8/24</formula>
    </cfRule>
  </conditionalFormatting>
  <conditionalFormatting sqref="AN100:AN103">
    <cfRule type="expression" dxfId="671" priority="225">
      <formula>AN$9&gt;=20/24</formula>
    </cfRule>
    <cfRule type="expression" dxfId="670" priority="226">
      <formula>AND(AN$9&gt;=14/24,AN$9&lt;20/24)</formula>
    </cfRule>
    <cfRule type="expression" dxfId="669" priority="227">
      <formula>AND(AN$9&gt;=8/24,AN$9&lt;14/24)</formula>
    </cfRule>
    <cfRule type="expression" dxfId="668" priority="228">
      <formula>AN$9&lt;8/24</formula>
    </cfRule>
  </conditionalFormatting>
  <conditionalFormatting sqref="AN15:AR15">
    <cfRule type="expression" dxfId="667" priority="141">
      <formula>U$9&gt;=20/24</formula>
    </cfRule>
    <cfRule type="expression" dxfId="666" priority="142">
      <formula>AND(U$9&gt;=14/24,U$9&lt;20/24)</formula>
    </cfRule>
    <cfRule type="expression" dxfId="665" priority="143">
      <formula>AND(U$9&gt;=8/24,U$9&lt;14/24)</formula>
    </cfRule>
    <cfRule type="expression" dxfId="664" priority="144">
      <formula>U$9&lt;8/24</formula>
    </cfRule>
  </conditionalFormatting>
  <conditionalFormatting sqref="AS15">
    <cfRule type="expression" dxfId="663" priority="149">
      <formula>AA$9&gt;=20/24</formula>
    </cfRule>
    <cfRule type="expression" dxfId="662" priority="150">
      <formula>AND(AA$9&gt;=14/24,AA$9&lt;20/24)</formula>
    </cfRule>
    <cfRule type="expression" dxfId="661" priority="151">
      <formula>AND(AA$9&gt;=8/24,AA$9&lt;14/24)</formula>
    </cfRule>
    <cfRule type="expression" dxfId="660" priority="152">
      <formula>AA$9&lt;8/24</formula>
    </cfRule>
  </conditionalFormatting>
  <conditionalFormatting sqref="AS16:AS21">
    <cfRule type="expression" dxfId="659" priority="157">
      <formula>BE$9&gt;=20/24</formula>
    </cfRule>
    <cfRule type="expression" dxfId="658" priority="158">
      <formula>AND(BE$9&gt;=14/24,BE$9&lt;20/24)</formula>
    </cfRule>
    <cfRule type="expression" dxfId="657" priority="159">
      <formula>AND(BE$9&gt;=8/24,BE$9&lt;14/24)</formula>
    </cfRule>
    <cfRule type="expression" dxfId="656" priority="160">
      <formula>BE$9&lt;8/24</formula>
    </cfRule>
  </conditionalFormatting>
  <conditionalFormatting sqref="AT15 AX15:BJ15">
    <cfRule type="expression" dxfId="655" priority="161">
      <formula>AC$9&gt;=20/24</formula>
    </cfRule>
    <cfRule type="expression" dxfId="654" priority="162">
      <formula>AND(AC$9&gt;=14/24,AC$9&lt;20/24)</formula>
    </cfRule>
    <cfRule type="expression" dxfId="653" priority="163">
      <formula>AND(AC$9&gt;=8/24,AC$9&lt;14/24)</formula>
    </cfRule>
    <cfRule type="expression" dxfId="652" priority="164">
      <formula>AC$9&lt;8/24</formula>
    </cfRule>
  </conditionalFormatting>
  <conditionalFormatting sqref="AT16:AT21">
    <cfRule type="expression" dxfId="651" priority="165">
      <formula>BG$9&gt;=20/24</formula>
    </cfRule>
    <cfRule type="expression" dxfId="650" priority="166">
      <formula>AND(BG$9&gt;=14/24,BG$9&lt;20/24)</formula>
    </cfRule>
    <cfRule type="expression" dxfId="649" priority="167">
      <formula>AND(BG$9&gt;=8/24,BG$9&lt;14/24)</formula>
    </cfRule>
    <cfRule type="expression" dxfId="648" priority="168">
      <formula>BG$9&lt;8/24</formula>
    </cfRule>
  </conditionalFormatting>
  <conditionalFormatting sqref="AU15:AV15">
    <cfRule type="expression" dxfId="647" priority="169">
      <formula>AE$9&gt;=20/24</formula>
    </cfRule>
    <cfRule type="expression" dxfId="646" priority="170">
      <formula>AND(AE$9&gt;=14/24,AE$9&lt;20/24)</formula>
    </cfRule>
    <cfRule type="expression" dxfId="645" priority="171">
      <formula>AND(AE$9&gt;=8/24,AE$9&lt;14/24)</formula>
    </cfRule>
    <cfRule type="expression" dxfId="644" priority="172">
      <formula>AE$9&lt;8/24</formula>
    </cfRule>
  </conditionalFormatting>
  <conditionalFormatting sqref="AU16:BJ21">
    <cfRule type="expression" dxfId="643" priority="173">
      <formula>BI$9&gt;=20/24</formula>
    </cfRule>
    <cfRule type="expression" dxfId="642" priority="174">
      <formula>AND(BI$9&gt;=14/24,BI$9&lt;20/24)</formula>
    </cfRule>
    <cfRule type="expression" dxfId="641" priority="175">
      <formula>AND(BI$9&gt;=8/24,BI$9&lt;14/24)</formula>
    </cfRule>
    <cfRule type="expression" dxfId="640" priority="176">
      <formula>BI$9&lt;8/24</formula>
    </cfRule>
  </conditionalFormatting>
  <conditionalFormatting sqref="AW15">
    <cfRule type="expression" dxfId="639" priority="145">
      <formula>B$9&gt;=20/24</formula>
    </cfRule>
    <cfRule type="expression" dxfId="638" priority="146">
      <formula>AND(B$9&gt;=14/24,B$9&lt;20/24)</formula>
    </cfRule>
    <cfRule type="expression" dxfId="637" priority="147">
      <formula>AND(B$9&gt;=8/24,B$9&lt;14/24)</formula>
    </cfRule>
    <cfRule type="expression" dxfId="636" priority="148">
      <formula>B$9&lt;8/24</formula>
    </cfRule>
  </conditionalFormatting>
  <conditionalFormatting sqref="A73">
    <cfRule type="expression" dxfId="635" priority="96">
      <formula>$AH73=0</formula>
    </cfRule>
  </conditionalFormatting>
  <conditionalFormatting sqref="B97:B107 B152 B109:B112 B125 B154:B159 B134">
    <cfRule type="expression" dxfId="634" priority="92">
      <formula>B$9&gt;=20/24</formula>
    </cfRule>
  </conditionalFormatting>
  <conditionalFormatting sqref="B97:B107 B152 B109:B112 B125 B154:B159 B134">
    <cfRule type="expression" dxfId="633" priority="93">
      <formula>AND(B$9&gt;=14/24,B$9&lt;20/24)</formula>
    </cfRule>
    <cfRule type="expression" dxfId="632" priority="94">
      <formula>AND(B$9&gt;=8/24,B$9&lt;14/24)</formula>
    </cfRule>
    <cfRule type="expression" dxfId="631" priority="95">
      <formula>B$9&lt;8/24</formula>
    </cfRule>
  </conditionalFormatting>
  <conditionalFormatting sqref="B161:B167">
    <cfRule type="expression" dxfId="630" priority="87">
      <formula>B$9&gt;=20/24</formula>
    </cfRule>
    <cfRule type="expression" dxfId="629" priority="88">
      <formula>AND(B$9&gt;=14/24,B$9&lt;20/24)</formula>
    </cfRule>
    <cfRule type="expression" dxfId="628" priority="89">
      <formula>AND(B$9&gt;=8/24,B$9&lt;14/24)</formula>
    </cfRule>
    <cfRule type="expression" dxfId="627" priority="90">
      <formula>B$9&lt;8/24</formula>
    </cfRule>
  </conditionalFormatting>
  <conditionalFormatting sqref="B169:B274">
    <cfRule type="expression" dxfId="626" priority="78">
      <formula>B$9&gt;=20/24</formula>
    </cfRule>
    <cfRule type="expression" dxfId="625" priority="79">
      <formula>AND(B$9&gt;=14/24,B$9&lt;20/24)</formula>
    </cfRule>
    <cfRule type="expression" dxfId="624" priority="80">
      <formula>AND(B$9&gt;=8/24,B$9&lt;14/24)</formula>
    </cfRule>
    <cfRule type="expression" dxfId="623" priority="81">
      <formula>B$9&lt;8/24</formula>
    </cfRule>
  </conditionalFormatting>
  <conditionalFormatting sqref="A153">
    <cfRule type="expression" dxfId="62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1" priority="73">
      <formula>AL$9&gt;=20/24</formula>
    </cfRule>
  </conditionalFormatting>
  <conditionalFormatting sqref="AL153">
    <cfRule type="expression" dxfId="620" priority="74">
      <formula>AND(AL$9&gt;=14/24,AL$9&lt;20/24)</formula>
    </cfRule>
    <cfRule type="expression" dxfId="619" priority="75">
      <formula>AND(AL$9&gt;=8/24,AL$9&lt;14/24)</formula>
    </cfRule>
    <cfRule type="expression" dxfId="618" priority="76">
      <formula>AL$9&lt;8/24</formula>
    </cfRule>
  </conditionalFormatting>
  <conditionalFormatting sqref="B11:Z13">
    <cfRule type="expression" dxfId="617" priority="69">
      <formula>B$9&gt;=20/24</formula>
    </cfRule>
  </conditionalFormatting>
  <conditionalFormatting sqref="B11:Z13">
    <cfRule type="expression" dxfId="616" priority="70">
      <formula>AND(B$9&gt;=14/24,B$9&lt;20/24)</formula>
    </cfRule>
    <cfRule type="expression" dxfId="615" priority="71">
      <formula>AND(B$9&gt;=8/24,B$9&lt;14/24)</formula>
    </cfRule>
    <cfRule type="expression" dxfId="614" priority="72">
      <formula>B$9&lt;8/24</formula>
    </cfRule>
  </conditionalFormatting>
  <conditionalFormatting sqref="B14:Z16">
    <cfRule type="expression" dxfId="613" priority="63">
      <formula>B14&gt;$AG14*1</formula>
    </cfRule>
    <cfRule type="expression" dxfId="612" priority="64">
      <formula>B$9&gt;=20/24</formula>
    </cfRule>
    <cfRule type="expression" dxfId="611" priority="65">
      <formula>AND(B$9&gt;=14/24,B$9&lt;20/24)</formula>
    </cfRule>
    <cfRule type="expression" dxfId="610" priority="66">
      <formula>AND(B$9&gt;=8/24,B$9&lt;14/24)</formula>
    </cfRule>
    <cfRule type="expression" dxfId="609" priority="67">
      <formula>B$9&lt;8/24</formula>
    </cfRule>
  </conditionalFormatting>
  <conditionalFormatting sqref="B11:Z13">
    <cfRule type="expression" dxfId="608" priority="68">
      <formula>B11&gt;$AG11*1</formula>
    </cfRule>
  </conditionalFormatting>
  <conditionalFormatting sqref="B17:Z53">
    <cfRule type="expression" dxfId="607" priority="55">
      <formula>B17&gt;$AG17*1</formula>
    </cfRule>
    <cfRule type="expression" dxfId="606" priority="56">
      <formula>B$9&gt;=20/24</formula>
    </cfRule>
    <cfRule type="expression" dxfId="605" priority="57">
      <formula>AND(B$9&gt;=14/24,B$9&lt;20/24)</formula>
    </cfRule>
    <cfRule type="expression" dxfId="604" priority="58">
      <formula>AND(B$9&gt;=8/24,B$9&lt;14/24)</formula>
    </cfRule>
    <cfRule type="expression" dxfId="603" priority="59">
      <formula>B$9&lt;8/24</formula>
    </cfRule>
  </conditionalFormatting>
  <conditionalFormatting sqref="B54:Z55">
    <cfRule type="expression" dxfId="602" priority="54">
      <formula>B$9&lt;8/24</formula>
    </cfRule>
  </conditionalFormatting>
  <conditionalFormatting sqref="B54:Z55 B69:Z70">
    <cfRule type="expression" dxfId="601" priority="51">
      <formula>B$9&gt;=20/24</formula>
    </cfRule>
    <cfRule type="expression" dxfId="600" priority="52">
      <formula>AND(B$9&gt;=14/24,B$9&lt;20/24)</formula>
    </cfRule>
    <cfRule type="expression" dxfId="599" priority="53">
      <formula>AND(B$9&gt;=8/24,B$9&lt;14/24)</formula>
    </cfRule>
  </conditionalFormatting>
  <conditionalFormatting sqref="B69:Z70">
    <cfRule type="expression" dxfId="598" priority="61">
      <formula>B$9&lt;8/24</formula>
    </cfRule>
  </conditionalFormatting>
  <conditionalFormatting sqref="B69:Z69">
    <cfRule type="expression" dxfId="597" priority="60">
      <formula>B69&gt;$AG69*1</formula>
    </cfRule>
  </conditionalFormatting>
  <conditionalFormatting sqref="B54:Z55 B69:Z70">
    <cfRule type="expression" dxfId="596" priority="62">
      <formula>B54&gt;$AG54</formula>
    </cfRule>
  </conditionalFormatting>
  <conditionalFormatting sqref="B56:Z68">
    <cfRule type="expression" dxfId="595" priority="48">
      <formula>B$9&lt;8/24</formula>
    </cfRule>
  </conditionalFormatting>
  <conditionalFormatting sqref="B56:Z68">
    <cfRule type="expression" dxfId="594" priority="45">
      <formula>B$9&gt;=20/24</formula>
    </cfRule>
    <cfRule type="expression" dxfId="593" priority="46">
      <formula>AND(B$9&gt;=14/24,B$9&lt;20/24)</formula>
    </cfRule>
    <cfRule type="expression" dxfId="592" priority="47">
      <formula>AND(B$9&gt;=8/24,B$9&lt;14/24)</formula>
    </cfRule>
  </conditionalFormatting>
  <conditionalFormatting sqref="B63:Z65">
    <cfRule type="expression" dxfId="591" priority="49">
      <formula>B63&gt;$AG63</formula>
    </cfRule>
  </conditionalFormatting>
  <conditionalFormatting sqref="B56:Z62 B66:Z68">
    <cfRule type="expression" dxfId="590" priority="50">
      <formula>B56&gt;$AG56</formula>
    </cfRule>
  </conditionalFormatting>
  <conditionalFormatting sqref="B76:Z77">
    <cfRule type="expression" dxfId="589" priority="37">
      <formula>B$9&gt;=20/24</formula>
    </cfRule>
  </conditionalFormatting>
  <conditionalFormatting sqref="B76:Z77">
    <cfRule type="expression" dxfId="588" priority="38">
      <formula>AND(B$9&gt;=14/24,B$9&lt;20/24)</formula>
    </cfRule>
    <cfRule type="expression" dxfId="587" priority="39">
      <formula>AND(B$9&gt;=8/24,B$9&lt;14/24)</formula>
    </cfRule>
    <cfRule type="expression" dxfId="586" priority="40">
      <formula>B$9&lt;8/24</formula>
    </cfRule>
  </conditionalFormatting>
  <conditionalFormatting sqref="B72:Z75">
    <cfRule type="expression" dxfId="585" priority="31">
      <formula>B72&gt;$AG72*1</formula>
    </cfRule>
  </conditionalFormatting>
  <conditionalFormatting sqref="B73:Z75">
    <cfRule type="expression" dxfId="584" priority="32">
      <formula>B$9&gt;=20/24</formula>
    </cfRule>
    <cfRule type="expression" dxfId="583" priority="33">
      <formula>AND(B$9&gt;=14/24,B$9&lt;20/24)</formula>
    </cfRule>
    <cfRule type="expression" dxfId="582" priority="34">
      <formula>AND(B$9&gt;=8/24,B$9&lt;14/24)</formula>
    </cfRule>
    <cfRule type="expression" dxfId="581" priority="35">
      <formula>B$9&lt;8/24</formula>
    </cfRule>
  </conditionalFormatting>
  <conditionalFormatting sqref="B76:Z77">
    <cfRule type="expression" dxfId="580" priority="36">
      <formula>B76&gt;$AG76*1</formula>
    </cfRule>
  </conditionalFormatting>
  <conditionalFormatting sqref="B72:Z72">
    <cfRule type="expression" dxfId="579" priority="41">
      <formula>B$9&gt;=20/24</formula>
    </cfRule>
    <cfRule type="expression" dxfId="578" priority="42">
      <formula>AND(B$9&gt;=14/24,B$9&lt;20/24)</formula>
    </cfRule>
    <cfRule type="expression" dxfId="577" priority="43">
      <formula>AND(B$9&gt;=8/24,B$9&lt;14/24)</formula>
    </cfRule>
    <cfRule type="expression" dxfId="576" priority="44">
      <formula>B$9&lt;8/24</formula>
    </cfRule>
  </conditionalFormatting>
  <conditionalFormatting sqref="B85:Z90">
    <cfRule type="expression" dxfId="575" priority="19">
      <formula>B$9&gt;=20/24</formula>
    </cfRule>
  </conditionalFormatting>
  <conditionalFormatting sqref="B85:Z90">
    <cfRule type="expression" dxfId="574" priority="20">
      <formula>AND(B$9&gt;=14/24,B$9&lt;20/24)</formula>
    </cfRule>
    <cfRule type="expression" dxfId="573" priority="21">
      <formula>AND(B$9&gt;=8/24,B$9&lt;14/24)</formula>
    </cfRule>
    <cfRule type="expression" dxfId="572" priority="22">
      <formula>B$9&lt;8/24</formula>
    </cfRule>
  </conditionalFormatting>
  <conditionalFormatting sqref="B79:Z90">
    <cfRule type="expression" dxfId="571" priority="18">
      <formula>B79&gt;$AG79*1</formula>
    </cfRule>
  </conditionalFormatting>
  <conditionalFormatting sqref="B84:Z84">
    <cfRule type="expression" dxfId="570" priority="23">
      <formula>B$9&gt;=20/24</formula>
    </cfRule>
    <cfRule type="expression" dxfId="569" priority="24">
      <formula>AND(B$9&gt;=14/24,B$9&lt;20/24)</formula>
    </cfRule>
    <cfRule type="expression" dxfId="568" priority="25">
      <formula>AND(B$9&gt;=8/24,B$9&lt;14/24)</formula>
    </cfRule>
    <cfRule type="expression" dxfId="567" priority="26">
      <formula>B$9&lt;8/24</formula>
    </cfRule>
  </conditionalFormatting>
  <conditionalFormatting sqref="B80:Z83">
    <cfRule type="expression" dxfId="566" priority="27">
      <formula>B$9&gt;=20/24</formula>
    </cfRule>
    <cfRule type="expression" dxfId="565" priority="28">
      <formula>AND(B$9&gt;=14/24,B$9&lt;20/24)</formula>
    </cfRule>
    <cfRule type="expression" dxfId="564" priority="29">
      <formula>AND(B$9&gt;=8/24,B$9&lt;14/24)</formula>
    </cfRule>
    <cfRule type="expression" dxfId="563" priority="30">
      <formula>B$9&lt;8/24</formula>
    </cfRule>
  </conditionalFormatting>
  <conditionalFormatting sqref="B79:Z84">
    <cfRule type="expression" dxfId="562" priority="14">
      <formula>B$9&gt;=20/24</formula>
    </cfRule>
    <cfRule type="expression" dxfId="561" priority="15">
      <formula>AND(B$9&gt;=14/24,B$9&lt;20/24)</formula>
    </cfRule>
    <cfRule type="expression" dxfId="560" priority="16">
      <formula>AND(B$9&gt;=8/24,B$9&lt;14/24)</formula>
    </cfRule>
    <cfRule type="expression" dxfId="559" priority="17">
      <formula>B$9&lt;8/24</formula>
    </cfRule>
  </conditionalFormatting>
  <conditionalFormatting sqref="B93:D95">
    <cfRule type="expression" dxfId="558" priority="10">
      <formula>B$9&gt;=20/24</formula>
    </cfRule>
  </conditionalFormatting>
  <conditionalFormatting sqref="B93:D95">
    <cfRule type="expression" dxfId="557" priority="11">
      <formula>AND(B$9&gt;=14/24,B$9&lt;20/24)</formula>
    </cfRule>
    <cfRule type="expression" dxfId="556" priority="12">
      <formula>AND(B$9&gt;=8/24,B$9&lt;14/24)</formula>
    </cfRule>
    <cfRule type="expression" dxfId="555" priority="13">
      <formula>B$9&lt;8/24</formula>
    </cfRule>
  </conditionalFormatting>
  <conditionalFormatting sqref="B93:D95">
    <cfRule type="expression" dxfId="554" priority="9">
      <formula>B93&gt;$AG93*1</formula>
    </cfRule>
  </conditionalFormatting>
  <conditionalFormatting sqref="B126:C133">
    <cfRule type="expression" dxfId="553" priority="5">
      <formula>B$9&gt;=20/24</formula>
    </cfRule>
  </conditionalFormatting>
  <conditionalFormatting sqref="B126:C133">
    <cfRule type="expression" dxfId="552" priority="6">
      <formula>AND(B$9&gt;=14/24,B$9&lt;20/24)</formula>
    </cfRule>
    <cfRule type="expression" dxfId="551" priority="7">
      <formula>AND(B$9&gt;=8/24,B$9&lt;14/24)</formula>
    </cfRule>
    <cfRule type="expression" dxfId="550" priority="8">
      <formula>B$9&lt;8/24</formula>
    </cfRule>
  </conditionalFormatting>
  <conditionalFormatting sqref="B137:C151">
    <cfRule type="expression" dxfId="549" priority="1">
      <formula>B$9&gt;=20/24</formula>
    </cfRule>
  </conditionalFormatting>
  <conditionalFormatting sqref="B137:C151">
    <cfRule type="expression" dxfId="548" priority="2">
      <formula>AND(B$9&gt;=14/24,B$9&lt;20/24)</formula>
    </cfRule>
    <cfRule type="expression" dxfId="547" priority="3">
      <formula>AND(B$9&gt;=8/24,B$9&lt;14/24)</formula>
    </cfRule>
    <cfRule type="expression" dxfId="54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Q8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B97" sqref="AB97:A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Y53 Z14:AF53">
    <cfRule type="expression" dxfId="532" priority="49">
      <formula>B14&gt;$AG14*1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A70 AG96 B71:AA71 B69:AA69 AG78 AG71 AB69:AF71 B76:AF96 Z11:AF13">
    <cfRule type="expression" dxfId="508" priority="105">
      <formula>B11&gt;$AG11*1</formula>
    </cfRule>
  </conditionalFormatting>
  <conditionalFormatting sqref="F79:Y83">
    <cfRule type="expression" dxfId="507" priority="115">
      <formula>F$9&gt;=20/24</formula>
    </cfRule>
    <cfRule type="expression" dxfId="506" priority="116">
      <formula>AND(F$9&gt;=14/24,F$9&lt;20/24)</formula>
    </cfRule>
    <cfRule type="expression" dxfId="505" priority="117">
      <formula>AND(F$9&gt;=8/24,F$9&lt;14/24)</formula>
    </cfRule>
    <cfRule type="expression" dxfId="504" priority="118">
      <formula>F$9&lt;8/24</formula>
    </cfRule>
  </conditionalFormatting>
  <conditionalFormatting sqref="F84:Y84">
    <cfRule type="expression" dxfId="503" priority="110">
      <formula>F$9&gt;=20/24</formula>
    </cfRule>
    <cfRule type="expression" dxfId="502" priority="111">
      <formula>AND(F$9&gt;=14/24,F$9&lt;20/24)</formula>
    </cfRule>
    <cfRule type="expression" dxfId="501" priority="112">
      <formula>AND(F$9&gt;=8/24,F$9&lt;14/24)</formula>
    </cfRule>
    <cfRule type="expression" dxfId="500" priority="113">
      <formula>F$9&lt;8/24</formula>
    </cfRule>
  </conditionalFormatting>
  <conditionalFormatting sqref="F78:AC78 Z76:AC77 B72:AF72 AD76:AF78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Z73:AF75">
    <cfRule type="expression" dxfId="495" priority="35">
      <formula>Z$9&gt;=20/24</formula>
    </cfRule>
    <cfRule type="expression" dxfId="494" priority="36">
      <formula>AND(Z$9&gt;=14/24,Z$9&lt;20/24)</formula>
    </cfRule>
    <cfRule type="expression" dxfId="493" priority="37">
      <formula>AND(Z$9&gt;=8/24,Z$9&lt;14/24)</formula>
    </cfRule>
    <cfRule type="expression" dxfId="492" priority="38">
      <formula>Z$9&lt;8/24</formula>
    </cfRule>
  </conditionalFormatting>
  <conditionalFormatting sqref="F79:Y81">
    <cfRule type="expression" dxfId="491" priority="133">
      <formula>F$9&gt;=20/24</formula>
    </cfRule>
    <cfRule type="expression" dxfId="490" priority="134">
      <formula>AND(F$9&gt;=14/24,F$9&lt;20/24)</formula>
    </cfRule>
    <cfRule type="expression" dxfId="489" priority="135">
      <formula>AND(F$9&gt;=8/24,F$9&lt;14/24)</formula>
    </cfRule>
    <cfRule type="expression" dxfId="488" priority="136">
      <formula>F$9&lt;8/24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R79:Y83 Z80:AF83">
    <cfRule type="expression" dxfId="480" priority="137">
      <formula>R$9&gt;=20/24</formula>
    </cfRule>
    <cfRule type="expression" dxfId="479" priority="138">
      <formula>AND(R$9&gt;=14/24,R$9&lt;20/24)</formula>
    </cfRule>
    <cfRule type="expression" dxfId="478" priority="139">
      <formula>AND(R$9&gt;=8/24,R$9&lt;14/24)</formula>
    </cfRule>
    <cfRule type="expression" dxfId="47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Z79:AF84">
    <cfRule type="expression" dxfId="471" priority="59">
      <formula>Z$9&gt;=20/24</formula>
    </cfRule>
    <cfRule type="expression" dxfId="470" priority="60">
      <formula>AND(Z$9&gt;=14/24,Z$9&lt;20/24)</formula>
    </cfRule>
    <cfRule type="expression" dxfId="469" priority="61">
      <formula>AND(Z$9&gt;=8/24,Z$9&lt;14/24)</formula>
    </cfRule>
    <cfRule type="expression" dxfId="46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67" priority="44">
      <formula>Z$9&gt;=20/24</formula>
    </cfRule>
    <cfRule type="expression" dxfId="466" priority="45">
      <formula>AND(Z$9&gt;=14/24,Z$9&lt;20/24)</formula>
    </cfRule>
    <cfRule type="expression" dxfId="465" priority="46">
      <formula>AND(Z$9&gt;=8/24,Z$9&lt;14/24)</formula>
    </cfRule>
    <cfRule type="expression" dxfId="464" priority="47">
      <formula>Z$9&lt;8/24</formula>
    </cfRule>
  </conditionalFormatting>
  <conditionalFormatting sqref="Z69:Z70">
    <cfRule type="expression" dxfId="463" priority="124">
      <formula>Z69&gt;$AG69</formula>
    </cfRule>
  </conditionalFormatting>
  <conditionalFormatting sqref="B66:Y70 B54:AF62 Z66:AF69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137:E151 C126:Q133 B11:Y13">
    <cfRule type="expression" dxfId="386" priority="20">
      <formula>B$9&gt;=20/24</formula>
    </cfRule>
  </conditionalFormatting>
  <conditionalFormatting sqref="B97:B107 B137:B152 B109:B112 B125:B134 B154:B159 C137:E151 C126:Q133 B11:Y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Y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Y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tabSelected="1" zoomScale="112" zoomScaleNormal="112" workbookViewId="0">
      <pane xSplit="1" ySplit="10" topLeftCell="I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D152" sqref="AD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0</v>
      </c>
      <c r="AE5" s="30">
        <f t="shared" si="0"/>
        <v>0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Load=172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1768.5999999999995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2187.1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4"/>
      <c r="AF12" s="44"/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4"/>
      <c r="AF13" s="44"/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4"/>
      <c r="AF15" s="44"/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4"/>
      <c r="AF16" s="44"/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/>
      <c r="AF18" s="44"/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/>
      <c r="AF20" s="44"/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2007.7999999999995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/>
      <c r="AF23" s="44"/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/>
      <c r="AF24" s="44"/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/>
      <c r="AF25" s="44"/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1768.5999999999995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/>
      <c r="AF26" s="44"/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/>
      <c r="AF27" s="44"/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/>
      <c r="AF28" s="44"/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/>
      <c r="AF31" s="44"/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/>
      <c r="AF32" s="44"/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/>
      <c r="AF33" s="44"/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/>
      <c r="AF34" s="44"/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/>
      <c r="AF36" s="44"/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/>
      <c r="AF37" s="44"/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/>
      <c r="AF38" s="44"/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/>
      <c r="AF42" s="44"/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/>
      <c r="AF44" s="44"/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/>
      <c r="AF45" s="44"/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/>
      <c r="AF46" s="44"/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/>
      <c r="AF67" s="44"/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/>
      <c r="AF68" s="44"/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D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/>
      <c r="AF70" s="66"/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170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/>
      <c r="AF72" s="44"/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/>
      <c r="AF73" s="43"/>
      <c r="AG73" s="64">
        <v>111</v>
      </c>
      <c r="AH73" s="46">
        <f t="shared" si="2"/>
        <v>69.099999999999994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/>
      <c r="AF74" s="43"/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/>
      <c r="AF75" s="43"/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/>
      <c r="AF76" s="43"/>
      <c r="AG76" s="75">
        <v>22.1</v>
      </c>
      <c r="AH76" s="46">
        <f t="shared" si="31"/>
        <v>22.3</v>
      </c>
      <c r="AI76" s="47">
        <f t="shared" si="32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/>
      <c r="AF77" s="77"/>
      <c r="AG77" s="78">
        <v>14.8</v>
      </c>
      <c r="AH77" s="46">
        <f t="shared" si="31"/>
        <v>13.4</v>
      </c>
      <c r="AI77" s="47">
        <f t="shared" si="32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560.62</v>
      </c>
      <c r="C78" s="70">
        <f t="shared" si="33"/>
        <v>560.62</v>
      </c>
      <c r="D78" s="70">
        <f t="shared" ref="D78:E78" si="34">SUM(D72:D77)</f>
        <v>602.62</v>
      </c>
      <c r="E78" s="70">
        <f t="shared" si="34"/>
        <v>529.62</v>
      </c>
      <c r="F78" s="70">
        <f t="shared" ref="F78" si="35">SUM(F72:F77)</f>
        <v>500.62000000000006</v>
      </c>
      <c r="G78" s="70">
        <f t="shared" ref="D78:AG78" si="36">SUM(G72:G77)</f>
        <v>466.52000000000004</v>
      </c>
      <c r="H78" s="70">
        <f t="shared" si="36"/>
        <v>348.32000000000005</v>
      </c>
      <c r="I78" s="70">
        <f t="shared" si="36"/>
        <v>408.32000000000005</v>
      </c>
      <c r="J78" s="70">
        <f t="shared" si="36"/>
        <v>516.72</v>
      </c>
      <c r="K78" s="70">
        <f t="shared" si="36"/>
        <v>556.92000000000007</v>
      </c>
      <c r="L78" s="70">
        <f t="shared" si="36"/>
        <v>507.12000000000006</v>
      </c>
      <c r="M78" s="70">
        <f t="shared" ref="M78:N78" si="37">SUM(M72:M77)</f>
        <v>553.80000000000007</v>
      </c>
      <c r="N78" s="70">
        <f t="shared" si="37"/>
        <v>492.69999999999993</v>
      </c>
      <c r="O78" s="70">
        <f t="shared" ref="O78:P78" si="38">SUM(O72:O77)</f>
        <v>399.9</v>
      </c>
      <c r="P78" s="70">
        <f t="shared" si="38"/>
        <v>169.70000000000002</v>
      </c>
      <c r="Q78" s="70">
        <f t="shared" ref="Q78:R78" si="39">SUM(Q72:Q77)</f>
        <v>167.10000000000002</v>
      </c>
      <c r="R78" s="70">
        <f t="shared" si="39"/>
        <v>167.10000000000002</v>
      </c>
      <c r="S78" s="70">
        <f t="shared" ref="S78:U78" si="40">SUM(S72:S77)</f>
        <v>277.10000000000002</v>
      </c>
      <c r="T78" s="70">
        <f t="shared" si="40"/>
        <v>527.1</v>
      </c>
      <c r="U78" s="70">
        <f t="shared" si="40"/>
        <v>483.99999999999994</v>
      </c>
      <c r="V78" s="70">
        <f t="shared" ref="V78:W78" si="41">SUM(V72:V77)</f>
        <v>383.99999999999994</v>
      </c>
      <c r="W78" s="70">
        <f t="shared" si="41"/>
        <v>302.7</v>
      </c>
      <c r="X78" s="70">
        <f t="shared" ref="X78" si="42">SUM(X72:X77)</f>
        <v>302.7</v>
      </c>
      <c r="Y78" s="70">
        <f t="shared" si="36"/>
        <v>302.7</v>
      </c>
      <c r="Z78" s="70">
        <f t="shared" ref="Z78:AA78" si="43">SUM(Z72:Z77)</f>
        <v>372.90000000000003</v>
      </c>
      <c r="AA78" s="70">
        <f t="shared" si="43"/>
        <v>372.90000000000003</v>
      </c>
      <c r="AB78" s="70">
        <f t="shared" ref="AB78:AD78" si="44">SUM(AB72:AB77)</f>
        <v>580.4</v>
      </c>
      <c r="AC78" s="70">
        <f t="shared" si="44"/>
        <v>580.4</v>
      </c>
      <c r="AD78" s="70">
        <f t="shared" si="44"/>
        <v>473.09999999999991</v>
      </c>
      <c r="AE78" s="70">
        <f t="shared" si="36"/>
        <v>0</v>
      </c>
      <c r="AF78" s="70">
        <f t="shared" si="36"/>
        <v>0</v>
      </c>
      <c r="AG78" s="80">
        <f t="shared" si="36"/>
        <v>706.4</v>
      </c>
      <c r="AH78" s="46">
        <f t="shared" si="31"/>
        <v>602.62</v>
      </c>
      <c r="AI78" s="47">
        <f t="shared" si="3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/>
      <c r="AF79" s="44"/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-400</v>
      </c>
      <c r="BA79" s="81">
        <f t="shared" ref="BA79:BD83" si="45">D97</f>
        <v>-500</v>
      </c>
      <c r="BB79" s="81">
        <f t="shared" si="45"/>
        <v>-482</v>
      </c>
      <c r="BC79" s="81">
        <f t="shared" si="45"/>
        <v>-452</v>
      </c>
      <c r="BD79" s="81">
        <f t="shared" si="45"/>
        <v>-412</v>
      </c>
      <c r="BE79" s="82">
        <f>I97</f>
        <v>-296.8</v>
      </c>
      <c r="BF79" s="82">
        <f>K97</f>
        <v>-363</v>
      </c>
      <c r="BG79" s="82">
        <f t="shared" ref="BG79:BP83" si="46">M97</f>
        <v>-309.60000000000002</v>
      </c>
      <c r="BH79" s="82">
        <f t="shared" si="46"/>
        <v>-270.89999999999998</v>
      </c>
      <c r="BI79" s="82">
        <f t="shared" si="46"/>
        <v>-134.5</v>
      </c>
      <c r="BJ79" s="82">
        <f t="shared" si="46"/>
        <v>41.4</v>
      </c>
      <c r="BK79" s="82">
        <f t="shared" si="46"/>
        <v>91.9</v>
      </c>
      <c r="BL79" s="82">
        <f t="shared" si="46"/>
        <v>98.6</v>
      </c>
      <c r="BM79" s="82">
        <f t="shared" si="46"/>
        <v>92.5</v>
      </c>
      <c r="BN79" s="82">
        <f t="shared" si="46"/>
        <v>-162.5</v>
      </c>
      <c r="BO79" s="82">
        <f t="shared" si="46"/>
        <v>-159</v>
      </c>
      <c r="BP79" s="82">
        <f t="shared" si="46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7">AD97</f>
        <v>-239.2</v>
      </c>
      <c r="BU79" s="81">
        <f t="shared" si="47"/>
        <v>0</v>
      </c>
      <c r="BV79" s="81">
        <f t="shared" si="47"/>
        <v>0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4"/>
      <c r="AF80" s="44"/>
      <c r="AG80" s="64">
        <v>70</v>
      </c>
      <c r="AH80" s="46">
        <f t="shared" si="31"/>
        <v>69.900000000000006</v>
      </c>
      <c r="AI80" s="47">
        <f t="shared" si="32"/>
        <v>25</v>
      </c>
      <c r="AK80" s="49"/>
      <c r="AY80" s="1" t="s">
        <v>101</v>
      </c>
      <c r="AZ80" s="82">
        <f>ROUND(C98,0)</f>
        <v>32</v>
      </c>
      <c r="BA80" s="81">
        <f t="shared" si="45"/>
        <v>32.299999999999997</v>
      </c>
      <c r="BB80" s="81">
        <f t="shared" si="45"/>
        <v>32.299999999999997</v>
      </c>
      <c r="BC80" s="81">
        <f t="shared" si="45"/>
        <v>26.7</v>
      </c>
      <c r="BD80" s="81">
        <f t="shared" si="45"/>
        <v>26</v>
      </c>
      <c r="BE80" s="82">
        <f>I98</f>
        <v>21.8</v>
      </c>
      <c r="BF80" s="82">
        <f>K98</f>
        <v>20.9</v>
      </c>
      <c r="BG80" s="82">
        <f t="shared" si="46"/>
        <v>18.7</v>
      </c>
      <c r="BH80" s="82">
        <f t="shared" si="46"/>
        <v>0</v>
      </c>
      <c r="BI80" s="82">
        <f t="shared" si="46"/>
        <v>0</v>
      </c>
      <c r="BJ80" s="82">
        <f t="shared" si="46"/>
        <v>0</v>
      </c>
      <c r="BK80" s="82">
        <f t="shared" si="46"/>
        <v>0</v>
      </c>
      <c r="BL80" s="82">
        <f t="shared" si="46"/>
        <v>0</v>
      </c>
      <c r="BM80" s="82">
        <f t="shared" si="46"/>
        <v>0</v>
      </c>
      <c r="BN80" s="82">
        <f t="shared" si="46"/>
        <v>0</v>
      </c>
      <c r="BO80" s="82">
        <f t="shared" si="46"/>
        <v>0</v>
      </c>
      <c r="BP80" s="82">
        <f t="shared" si="4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7"/>
        <v>0</v>
      </c>
      <c r="BU80" s="81">
        <f t="shared" si="47"/>
        <v>0</v>
      </c>
      <c r="BV80" s="81">
        <f t="shared" si="47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4"/>
      <c r="AF81" s="44"/>
      <c r="AG81" s="64">
        <v>69</v>
      </c>
      <c r="AH81" s="46">
        <f t="shared" si="31"/>
        <v>71.599999999999994</v>
      </c>
      <c r="AI81" s="47">
        <f t="shared" si="32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5"/>
        <v>0</v>
      </c>
      <c r="BB81" s="81">
        <f t="shared" si="45"/>
        <v>0</v>
      </c>
      <c r="BC81" s="81">
        <f t="shared" si="45"/>
        <v>0</v>
      </c>
      <c r="BD81" s="81">
        <f t="shared" si="45"/>
        <v>0</v>
      </c>
      <c r="BE81" s="82">
        <f>I99</f>
        <v>0</v>
      </c>
      <c r="BF81" s="82">
        <f>K99</f>
        <v>0</v>
      </c>
      <c r="BG81" s="82">
        <f t="shared" si="46"/>
        <v>0</v>
      </c>
      <c r="BH81" s="82">
        <f t="shared" si="46"/>
        <v>33.5</v>
      </c>
      <c r="BI81" s="82">
        <f t="shared" si="46"/>
        <v>35</v>
      </c>
      <c r="BJ81" s="82">
        <f t="shared" si="46"/>
        <v>35.6</v>
      </c>
      <c r="BK81" s="82">
        <f t="shared" si="46"/>
        <v>34.6</v>
      </c>
      <c r="BL81" s="82">
        <f t="shared" si="46"/>
        <v>38</v>
      </c>
      <c r="BM81" s="82">
        <f t="shared" si="46"/>
        <v>35</v>
      </c>
      <c r="BN81" s="82">
        <f t="shared" si="46"/>
        <v>37.5</v>
      </c>
      <c r="BO81" s="82">
        <f t="shared" si="46"/>
        <v>43.1</v>
      </c>
      <c r="BP81" s="82">
        <f t="shared" si="46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7"/>
        <v>51.4</v>
      </c>
      <c r="BU81" s="81">
        <f t="shared" si="47"/>
        <v>0</v>
      </c>
      <c r="BV81" s="81">
        <f t="shared" si="47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4"/>
      <c r="AF82" s="44"/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5"/>
        <v>20.6</v>
      </c>
      <c r="BB82" s="81">
        <f t="shared" si="45"/>
        <v>20.6</v>
      </c>
      <c r="BC82" s="81">
        <f t="shared" si="45"/>
        <v>21</v>
      </c>
      <c r="BD82" s="81">
        <f t="shared" si="45"/>
        <v>17.8</v>
      </c>
      <c r="BE82" s="82">
        <f>I100</f>
        <v>16.100000000000001</v>
      </c>
      <c r="BF82" s="82">
        <f>K100</f>
        <v>15.9</v>
      </c>
      <c r="BG82" s="82">
        <f t="shared" si="46"/>
        <v>14.4</v>
      </c>
      <c r="BH82" s="82">
        <f t="shared" si="46"/>
        <v>14.8</v>
      </c>
      <c r="BI82" s="82">
        <f t="shared" si="46"/>
        <v>14.5</v>
      </c>
      <c r="BJ82" s="82">
        <f t="shared" si="46"/>
        <v>6.5</v>
      </c>
      <c r="BK82" s="82">
        <f t="shared" si="46"/>
        <v>13.8</v>
      </c>
      <c r="BL82" s="82">
        <f t="shared" si="46"/>
        <v>13</v>
      </c>
      <c r="BM82" s="82">
        <f t="shared" si="46"/>
        <v>16</v>
      </c>
      <c r="BN82" s="82">
        <f t="shared" si="46"/>
        <v>16.8</v>
      </c>
      <c r="BO82" s="82">
        <f t="shared" si="46"/>
        <v>16.2</v>
      </c>
      <c r="BP82" s="82">
        <f t="shared" si="46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7"/>
        <v>20.5</v>
      </c>
      <c r="BU82" s="81">
        <f t="shared" si="47"/>
        <v>0</v>
      </c>
      <c r="BV82" s="81">
        <f t="shared" si="47"/>
        <v>0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/>
      <c r="AF83" s="44"/>
      <c r="AG83" s="64">
        <v>30</v>
      </c>
      <c r="AH83" s="46">
        <f t="shared" si="31"/>
        <v>28.8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5"/>
        <v>0</v>
      </c>
      <c r="BB83" s="81">
        <f t="shared" si="45"/>
        <v>0</v>
      </c>
      <c r="BC83" s="81">
        <f t="shared" si="45"/>
        <v>0</v>
      </c>
      <c r="BD83" s="81">
        <f t="shared" si="45"/>
        <v>55</v>
      </c>
      <c r="BE83" s="82">
        <f>I101</f>
        <v>56.5</v>
      </c>
      <c r="BF83" s="82">
        <f>K101</f>
        <v>55.5</v>
      </c>
      <c r="BG83" s="82">
        <f t="shared" si="46"/>
        <v>53.3</v>
      </c>
      <c r="BH83" s="82">
        <f t="shared" si="46"/>
        <v>50.6</v>
      </c>
      <c r="BI83" s="82">
        <f t="shared" si="46"/>
        <v>50.8</v>
      </c>
      <c r="BJ83" s="82">
        <f t="shared" si="46"/>
        <v>51.1</v>
      </c>
      <c r="BK83" s="82">
        <f t="shared" si="46"/>
        <v>56</v>
      </c>
      <c r="BL83" s="82">
        <f t="shared" si="46"/>
        <v>52.7</v>
      </c>
      <c r="BM83" s="82">
        <f t="shared" si="46"/>
        <v>58.4</v>
      </c>
      <c r="BN83" s="82">
        <f t="shared" si="46"/>
        <v>58.7</v>
      </c>
      <c r="BO83" s="82">
        <f t="shared" si="46"/>
        <v>58.1</v>
      </c>
      <c r="BP83" s="82">
        <f t="shared" si="46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7"/>
        <v>0</v>
      </c>
      <c r="BU83" s="81">
        <f t="shared" si="47"/>
        <v>0</v>
      </c>
      <c r="BV83" s="81">
        <f t="shared" si="47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3"/>
      <c r="AF84" s="43"/>
      <c r="AG84" s="64">
        <v>25</v>
      </c>
      <c r="AH84" s="46">
        <f t="shared" si="31"/>
        <v>15.8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8">M107</f>
        <v>0</v>
      </c>
      <c r="BH84" s="82">
        <f t="shared" si="48"/>
        <v>0</v>
      </c>
      <c r="BI84" s="82">
        <f t="shared" si="48"/>
        <v>0</v>
      </c>
      <c r="BJ84" s="82">
        <f t="shared" si="48"/>
        <v>0</v>
      </c>
      <c r="BK84" s="82">
        <f t="shared" si="48"/>
        <v>0</v>
      </c>
      <c r="BL84" s="82">
        <f t="shared" si="48"/>
        <v>0</v>
      </c>
      <c r="BM84" s="82">
        <f t="shared" si="48"/>
        <v>0</v>
      </c>
      <c r="BN84" s="82">
        <f t="shared" si="48"/>
        <v>0</v>
      </c>
      <c r="BO84" s="82">
        <f t="shared" si="48"/>
        <v>0</v>
      </c>
      <c r="BP84" s="82">
        <f t="shared" si="4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/>
      <c r="AF85" s="43"/>
      <c r="AG85" s="64">
        <v>24</v>
      </c>
      <c r="AH85" s="46">
        <f t="shared" si="31"/>
        <v>12.4</v>
      </c>
      <c r="AI85" s="47">
        <f t="shared" si="32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/>
      <c r="AF86" s="43"/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9">VALUE(AZ79)</f>
        <v>-400</v>
      </c>
      <c r="BA86" s="82">
        <f t="shared" si="49"/>
        <v>-500</v>
      </c>
      <c r="BB86" s="82">
        <f t="shared" si="49"/>
        <v>-482</v>
      </c>
      <c r="BC86" s="82">
        <f t="shared" si="49"/>
        <v>-452</v>
      </c>
      <c r="BD86" s="82">
        <f t="shared" si="49"/>
        <v>-412</v>
      </c>
      <c r="BE86" s="82">
        <f t="shared" si="49"/>
        <v>-296.8</v>
      </c>
      <c r="BF86" s="82">
        <f t="shared" si="49"/>
        <v>-363</v>
      </c>
      <c r="BG86" s="82">
        <f t="shared" si="49"/>
        <v>-309.60000000000002</v>
      </c>
      <c r="BH86" s="82">
        <f t="shared" si="49"/>
        <v>-270.89999999999998</v>
      </c>
      <c r="BI86" s="82">
        <f t="shared" si="49"/>
        <v>-134.5</v>
      </c>
      <c r="BJ86" s="82">
        <f t="shared" si="49"/>
        <v>41.4</v>
      </c>
      <c r="BK86" s="82">
        <f t="shared" si="49"/>
        <v>91.9</v>
      </c>
      <c r="BL86" s="82">
        <f t="shared" si="49"/>
        <v>98.6</v>
      </c>
      <c r="BM86" s="82">
        <f t="shared" si="49"/>
        <v>92.5</v>
      </c>
      <c r="BN86" s="82">
        <f t="shared" si="49"/>
        <v>-162.5</v>
      </c>
      <c r="BO86" s="82">
        <f t="shared" si="49"/>
        <v>-159</v>
      </c>
      <c r="BP86" s="82">
        <f t="shared" si="49"/>
        <v>-72.599999999999994</v>
      </c>
      <c r="BQ86" s="82">
        <f t="shared" si="49"/>
        <v>-41.3</v>
      </c>
      <c r="BR86" s="82">
        <f t="shared" si="49"/>
        <v>-81.8</v>
      </c>
      <c r="BS86" s="82">
        <f t="shared" si="49"/>
        <v>-371.2</v>
      </c>
      <c r="BT86" s="82">
        <f t="shared" si="49"/>
        <v>-239.2</v>
      </c>
      <c r="BU86" s="82">
        <f t="shared" si="49"/>
        <v>0</v>
      </c>
      <c r="BV86" s="82">
        <f t="shared" si="49"/>
        <v>0</v>
      </c>
      <c r="BW86" s="82">
        <f t="shared" si="49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/>
      <c r="AF87" s="43"/>
      <c r="AG87" s="64">
        <v>14.1</v>
      </c>
      <c r="AH87" s="46">
        <f t="shared" si="31"/>
        <v>9.3000000000000007</v>
      </c>
      <c r="AI87" s="47">
        <f t="shared" si="32"/>
        <v>7.1</v>
      </c>
      <c r="AK87" s="49"/>
      <c r="AZ87" s="82">
        <f t="shared" si="49"/>
        <v>32</v>
      </c>
      <c r="BA87" s="82">
        <f t="shared" si="49"/>
        <v>32.299999999999997</v>
      </c>
      <c r="BB87" s="82">
        <f t="shared" si="49"/>
        <v>32.299999999999997</v>
      </c>
      <c r="BC87" s="82">
        <f t="shared" si="49"/>
        <v>26.7</v>
      </c>
      <c r="BD87" s="82">
        <f t="shared" si="49"/>
        <v>26</v>
      </c>
      <c r="BE87" s="82">
        <f t="shared" si="49"/>
        <v>21.8</v>
      </c>
      <c r="BF87" s="82">
        <f t="shared" si="49"/>
        <v>20.9</v>
      </c>
      <c r="BG87" s="82">
        <f t="shared" si="49"/>
        <v>18.7</v>
      </c>
      <c r="BH87" s="82">
        <f t="shared" si="49"/>
        <v>0</v>
      </c>
      <c r="BI87" s="82">
        <f t="shared" si="49"/>
        <v>0</v>
      </c>
      <c r="BJ87" s="82">
        <f t="shared" si="49"/>
        <v>0</v>
      </c>
      <c r="BK87" s="82">
        <f t="shared" si="49"/>
        <v>0</v>
      </c>
      <c r="BL87" s="82">
        <f t="shared" si="49"/>
        <v>0</v>
      </c>
      <c r="BM87" s="82">
        <f t="shared" si="49"/>
        <v>0</v>
      </c>
      <c r="BN87" s="82">
        <f t="shared" si="49"/>
        <v>0</v>
      </c>
      <c r="BO87" s="82">
        <f t="shared" si="49"/>
        <v>0</v>
      </c>
      <c r="BP87" s="82">
        <f t="shared" si="49"/>
        <v>0</v>
      </c>
      <c r="BQ87" s="82">
        <f t="shared" si="49"/>
        <v>0</v>
      </c>
      <c r="BR87" s="82">
        <f t="shared" si="49"/>
        <v>0</v>
      </c>
      <c r="BS87" s="82">
        <f t="shared" si="49"/>
        <v>0</v>
      </c>
      <c r="BT87" s="82">
        <f t="shared" si="49"/>
        <v>0</v>
      </c>
      <c r="BU87" s="82">
        <f t="shared" si="49"/>
        <v>0</v>
      </c>
      <c r="BV87" s="82">
        <f t="shared" si="49"/>
        <v>0</v>
      </c>
      <c r="BW87" s="82">
        <f t="shared" si="49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/>
      <c r="AF88" s="43"/>
      <c r="AG88" s="64">
        <v>14</v>
      </c>
      <c r="AH88" s="46">
        <f t="shared" si="31"/>
        <v>10.5</v>
      </c>
      <c r="AI88" s="47">
        <f t="shared" si="32"/>
        <v>8</v>
      </c>
      <c r="AK88" s="49"/>
      <c r="AZ88" s="82">
        <f t="shared" si="49"/>
        <v>0</v>
      </c>
      <c r="BA88" s="82">
        <f t="shared" si="49"/>
        <v>0</v>
      </c>
      <c r="BB88" s="82">
        <f t="shared" si="49"/>
        <v>0</v>
      </c>
      <c r="BC88" s="82">
        <f t="shared" si="49"/>
        <v>0</v>
      </c>
      <c r="BD88" s="82">
        <f t="shared" si="49"/>
        <v>0</v>
      </c>
      <c r="BE88" s="82">
        <f t="shared" si="49"/>
        <v>0</v>
      </c>
      <c r="BF88" s="82">
        <f t="shared" si="49"/>
        <v>0</v>
      </c>
      <c r="BG88" s="82">
        <f t="shared" si="49"/>
        <v>0</v>
      </c>
      <c r="BH88" s="82">
        <f t="shared" si="49"/>
        <v>33.5</v>
      </c>
      <c r="BI88" s="82">
        <f t="shared" si="49"/>
        <v>35</v>
      </c>
      <c r="BJ88" s="82">
        <f t="shared" si="49"/>
        <v>35.6</v>
      </c>
      <c r="BK88" s="82">
        <f t="shared" si="49"/>
        <v>34.6</v>
      </c>
      <c r="BL88" s="82">
        <f t="shared" si="49"/>
        <v>38</v>
      </c>
      <c r="BM88" s="82">
        <f t="shared" si="49"/>
        <v>35</v>
      </c>
      <c r="BN88" s="82">
        <f t="shared" si="49"/>
        <v>37.5</v>
      </c>
      <c r="BO88" s="82">
        <f t="shared" si="49"/>
        <v>43.1</v>
      </c>
      <c r="BP88" s="82">
        <f t="shared" si="49"/>
        <v>43.5</v>
      </c>
      <c r="BQ88" s="82">
        <f t="shared" si="49"/>
        <v>38.1</v>
      </c>
      <c r="BR88" s="82">
        <f t="shared" si="49"/>
        <v>46</v>
      </c>
      <c r="BS88" s="82">
        <f t="shared" si="49"/>
        <v>48.7</v>
      </c>
      <c r="BT88" s="82">
        <f t="shared" si="49"/>
        <v>51.4</v>
      </c>
      <c r="BU88" s="82">
        <f t="shared" si="49"/>
        <v>0</v>
      </c>
      <c r="BV88" s="82">
        <f t="shared" si="49"/>
        <v>0</v>
      </c>
      <c r="BW88" s="82">
        <f t="shared" si="49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/>
      <c r="AF89" s="43"/>
      <c r="AG89" s="64">
        <v>10.050000000000001</v>
      </c>
      <c r="AH89" s="46">
        <f t="shared" si="31"/>
        <v>9.1999999999999993</v>
      </c>
      <c r="AI89" s="47">
        <f t="shared" si="32"/>
        <v>7.7</v>
      </c>
      <c r="AK89" s="49"/>
      <c r="AZ89" s="82">
        <f t="shared" si="49"/>
        <v>21</v>
      </c>
      <c r="BA89" s="82">
        <f t="shared" si="49"/>
        <v>20.6</v>
      </c>
      <c r="BB89" s="82">
        <f t="shared" si="49"/>
        <v>20.6</v>
      </c>
      <c r="BC89" s="82">
        <f t="shared" si="49"/>
        <v>21</v>
      </c>
      <c r="BD89" s="82">
        <f t="shared" si="49"/>
        <v>17.8</v>
      </c>
      <c r="BE89" s="82">
        <f t="shared" si="49"/>
        <v>16.100000000000001</v>
      </c>
      <c r="BF89" s="82">
        <f t="shared" si="49"/>
        <v>15.9</v>
      </c>
      <c r="BG89" s="82">
        <f t="shared" si="49"/>
        <v>14.4</v>
      </c>
      <c r="BH89" s="82">
        <f t="shared" si="49"/>
        <v>14.8</v>
      </c>
      <c r="BI89" s="82">
        <f t="shared" si="49"/>
        <v>14.5</v>
      </c>
      <c r="BJ89" s="82">
        <f t="shared" si="49"/>
        <v>6.5</v>
      </c>
      <c r="BK89" s="82">
        <f t="shared" si="49"/>
        <v>13.8</v>
      </c>
      <c r="BL89" s="82">
        <f t="shared" si="49"/>
        <v>13</v>
      </c>
      <c r="BM89" s="82">
        <f t="shared" si="49"/>
        <v>16</v>
      </c>
      <c r="BN89" s="82">
        <f t="shared" si="49"/>
        <v>16.8</v>
      </c>
      <c r="BO89" s="82">
        <f t="shared" si="49"/>
        <v>16.2</v>
      </c>
      <c r="BP89" s="82">
        <f t="shared" si="49"/>
        <v>19.3</v>
      </c>
      <c r="BQ89" s="82">
        <f t="shared" si="49"/>
        <v>17.7</v>
      </c>
      <c r="BR89" s="82">
        <f t="shared" si="49"/>
        <v>16.8</v>
      </c>
      <c r="BS89" s="82">
        <f t="shared" si="49"/>
        <v>16.5</v>
      </c>
      <c r="BT89" s="82">
        <f t="shared" si="49"/>
        <v>20.5</v>
      </c>
      <c r="BU89" s="82">
        <f t="shared" si="49"/>
        <v>0</v>
      </c>
      <c r="BV89" s="82">
        <f t="shared" si="49"/>
        <v>0</v>
      </c>
      <c r="BW89" s="82">
        <f t="shared" si="49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/>
      <c r="AF90" s="43"/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9"/>
        <v>0</v>
      </c>
      <c r="BA90" s="82">
        <f t="shared" si="49"/>
        <v>0</v>
      </c>
      <c r="BB90" s="82">
        <f t="shared" si="49"/>
        <v>0</v>
      </c>
      <c r="BC90" s="82">
        <f t="shared" si="49"/>
        <v>0</v>
      </c>
      <c r="BD90" s="82">
        <f t="shared" si="49"/>
        <v>55</v>
      </c>
      <c r="BE90" s="82">
        <f t="shared" si="49"/>
        <v>56.5</v>
      </c>
      <c r="BF90" s="82">
        <f t="shared" si="49"/>
        <v>55.5</v>
      </c>
      <c r="BG90" s="82">
        <f t="shared" si="49"/>
        <v>53.3</v>
      </c>
      <c r="BH90" s="82">
        <f t="shared" si="49"/>
        <v>50.6</v>
      </c>
      <c r="BI90" s="82">
        <f t="shared" si="49"/>
        <v>50.8</v>
      </c>
      <c r="BJ90" s="82">
        <f t="shared" si="49"/>
        <v>51.1</v>
      </c>
      <c r="BK90" s="82">
        <f t="shared" si="49"/>
        <v>56</v>
      </c>
      <c r="BL90" s="82">
        <f t="shared" si="49"/>
        <v>52.7</v>
      </c>
      <c r="BM90" s="82">
        <f t="shared" si="49"/>
        <v>58.4</v>
      </c>
      <c r="BN90" s="82">
        <f t="shared" si="49"/>
        <v>58.7</v>
      </c>
      <c r="BO90" s="82">
        <f t="shared" si="49"/>
        <v>58.1</v>
      </c>
      <c r="BP90" s="82">
        <f t="shared" si="49"/>
        <v>52.3</v>
      </c>
      <c r="BQ90" s="82">
        <f t="shared" si="49"/>
        <v>49.4</v>
      </c>
      <c r="BR90" s="82">
        <f t="shared" si="49"/>
        <v>52.6</v>
      </c>
      <c r="BS90" s="82">
        <f t="shared" si="49"/>
        <v>50</v>
      </c>
      <c r="BT90" s="82">
        <f t="shared" si="49"/>
        <v>0</v>
      </c>
      <c r="BU90" s="82">
        <f t="shared" si="49"/>
        <v>0</v>
      </c>
      <c r="BV90" s="82">
        <f t="shared" si="49"/>
        <v>0</v>
      </c>
      <c r="BW90" s="82">
        <f t="shared" si="49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9"/>
        <v>0</v>
      </c>
      <c r="BA91" s="82">
        <f t="shared" si="49"/>
        <v>0</v>
      </c>
      <c r="BB91" s="82">
        <f t="shared" si="49"/>
        <v>0</v>
      </c>
      <c r="BC91" s="82">
        <f t="shared" si="49"/>
        <v>0</v>
      </c>
      <c r="BD91" s="82">
        <f t="shared" si="49"/>
        <v>0</v>
      </c>
      <c r="BE91" s="82">
        <f t="shared" si="49"/>
        <v>0</v>
      </c>
      <c r="BF91" s="82">
        <f t="shared" si="49"/>
        <v>0</v>
      </c>
      <c r="BG91" s="82">
        <f t="shared" si="49"/>
        <v>0</v>
      </c>
      <c r="BH91" s="82">
        <f t="shared" si="49"/>
        <v>0</v>
      </c>
      <c r="BI91" s="82">
        <f t="shared" si="49"/>
        <v>0</v>
      </c>
      <c r="BJ91" s="82">
        <f t="shared" si="49"/>
        <v>0</v>
      </c>
      <c r="BK91" s="82">
        <f t="shared" si="49"/>
        <v>0</v>
      </c>
      <c r="BL91" s="82">
        <f t="shared" si="49"/>
        <v>0</v>
      </c>
      <c r="BM91" s="82">
        <f t="shared" si="49"/>
        <v>0</v>
      </c>
      <c r="BN91" s="82">
        <f t="shared" si="49"/>
        <v>0</v>
      </c>
      <c r="BO91" s="82">
        <f t="shared" si="49"/>
        <v>0</v>
      </c>
      <c r="BP91" s="82">
        <f t="shared" si="49"/>
        <v>0</v>
      </c>
      <c r="BQ91" s="82">
        <f t="shared" si="49"/>
        <v>0</v>
      </c>
      <c r="BR91" s="82">
        <f t="shared" si="49"/>
        <v>0</v>
      </c>
      <c r="BS91" s="82">
        <f t="shared" si="49"/>
        <v>0</v>
      </c>
      <c r="BT91" s="82">
        <f t="shared" si="49"/>
        <v>0</v>
      </c>
      <c r="BU91" s="82">
        <f t="shared" si="49"/>
        <v>0</v>
      </c>
      <c r="BV91" s="82">
        <f t="shared" si="49"/>
        <v>0</v>
      </c>
      <c r="BW91" s="82">
        <f t="shared" si="49"/>
        <v>0</v>
      </c>
    </row>
    <row r="92" spans="1:75" ht="15.75" thickBot="1" x14ac:dyDescent="0.3">
      <c r="A92" s="87" t="s">
        <v>117</v>
      </c>
      <c r="B92" s="70">
        <f t="shared" ref="B92:C92" si="50">SUM(B79:B91)</f>
        <v>334</v>
      </c>
      <c r="C92" s="70">
        <f t="shared" si="50"/>
        <v>334</v>
      </c>
      <c r="D92" s="70">
        <f t="shared" ref="D92:E92" si="51">SUM(D79:D91)</f>
        <v>334</v>
      </c>
      <c r="E92" s="70">
        <f t="shared" si="51"/>
        <v>334</v>
      </c>
      <c r="F92" s="70">
        <f t="shared" ref="F92" si="52">SUM(F79:F91)</f>
        <v>300.8</v>
      </c>
      <c r="G92" s="70">
        <f t="shared" ref="B92:AG92" si="53">SUM(G79:G91)</f>
        <v>295.8</v>
      </c>
      <c r="H92" s="70">
        <f t="shared" si="53"/>
        <v>295.8</v>
      </c>
      <c r="I92" s="70">
        <f t="shared" si="53"/>
        <v>295.8</v>
      </c>
      <c r="J92" s="70">
        <f t="shared" si="53"/>
        <v>310.8</v>
      </c>
      <c r="K92" s="70">
        <f t="shared" si="53"/>
        <v>349.3</v>
      </c>
      <c r="L92" s="70">
        <f t="shared" si="53"/>
        <v>349.3</v>
      </c>
      <c r="M92" s="70">
        <f t="shared" ref="M92:N92" si="54">SUM(M79:M91)</f>
        <v>329.09999999999997</v>
      </c>
      <c r="N92" s="70">
        <f t="shared" si="54"/>
        <v>351.7</v>
      </c>
      <c r="O92" s="70">
        <f t="shared" ref="O92:P92" si="55">SUM(O79:O91)</f>
        <v>367.20000000000005</v>
      </c>
      <c r="P92" s="70">
        <f t="shared" si="55"/>
        <v>367.2</v>
      </c>
      <c r="Q92" s="70">
        <f t="shared" ref="Q92:R92" si="56">SUM(Q79:Q91)</f>
        <v>367.30000000000007</v>
      </c>
      <c r="R92" s="70">
        <f t="shared" si="56"/>
        <v>346.59999999999997</v>
      </c>
      <c r="S92" s="70">
        <f t="shared" ref="S92:U92" si="57">SUM(S79:S91)</f>
        <v>344.4</v>
      </c>
      <c r="T92" s="70">
        <f t="shared" si="57"/>
        <v>345.29999999999995</v>
      </c>
      <c r="U92" s="70">
        <f t="shared" si="57"/>
        <v>343.79999999999995</v>
      </c>
      <c r="V92" s="70">
        <f t="shared" ref="V92:W92" si="58">SUM(V79:V91)</f>
        <v>327.69</v>
      </c>
      <c r="W92" s="70">
        <f t="shared" si="58"/>
        <v>325.3</v>
      </c>
      <c r="X92" s="70">
        <f t="shared" ref="X92" si="59">SUM(X79:X91)</f>
        <v>304</v>
      </c>
      <c r="Y92" s="70">
        <f t="shared" si="53"/>
        <v>274.8</v>
      </c>
      <c r="Z92" s="70">
        <f t="shared" si="53"/>
        <v>275.09999999999997</v>
      </c>
      <c r="AA92" s="70">
        <f t="shared" ref="AA92:AB92" si="60">SUM(AA79:AA91)</f>
        <v>275.09999999999997</v>
      </c>
      <c r="AB92" s="70">
        <f t="shared" si="60"/>
        <v>323.09999999999997</v>
      </c>
      <c r="AC92" s="70">
        <f t="shared" ref="AC92:AD92" si="61">SUM(AC79:AC91)</f>
        <v>323.09999999999997</v>
      </c>
      <c r="AD92" s="70">
        <f t="shared" si="61"/>
        <v>352.19999999999993</v>
      </c>
      <c r="AE92" s="70">
        <f t="shared" si="53"/>
        <v>2</v>
      </c>
      <c r="AF92" s="70">
        <f t="shared" si="53"/>
        <v>2</v>
      </c>
      <c r="AG92" s="80">
        <f t="shared" si="53"/>
        <v>489.91</v>
      </c>
      <c r="AH92" s="46">
        <f t="shared" si="31"/>
        <v>367.30000000000007</v>
      </c>
      <c r="AI92" s="47">
        <f t="shared" si="32"/>
        <v>2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/>
      <c r="AF93" s="44"/>
      <c r="AG93" s="61">
        <v>60</v>
      </c>
      <c r="AH93" s="46">
        <f t="shared" si="31"/>
        <v>45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/>
      <c r="AF94" s="43"/>
      <c r="AG94" s="64">
        <v>32</v>
      </c>
      <c r="AH94" s="46">
        <f t="shared" si="31"/>
        <v>26.5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/>
      <c r="AF95" s="77"/>
      <c r="AG95" s="78">
        <v>14</v>
      </c>
      <c r="AH95" s="46">
        <f t="shared" si="31"/>
        <v>11.6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2">B93+B94+B95</f>
        <v>83.1</v>
      </c>
      <c r="C96" s="70">
        <f t="shared" si="62"/>
        <v>83.1</v>
      </c>
      <c r="D96" s="70">
        <f t="shared" ref="D96:E96" si="63">D93+D94+D95</f>
        <v>70</v>
      </c>
      <c r="E96" s="70">
        <f t="shared" si="63"/>
        <v>70</v>
      </c>
      <c r="F96" s="70">
        <f t="shared" ref="F96" si="64">F93+F94+F95</f>
        <v>70</v>
      </c>
      <c r="G96" s="70">
        <f t="shared" ref="B96:AF96" si="65">G93+G94+G95</f>
        <v>17.600000000000001</v>
      </c>
      <c r="H96" s="70">
        <f t="shared" si="65"/>
        <v>17.600000000000001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0</v>
      </c>
      <c r="M96" s="70">
        <f t="shared" ref="M96:N96" si="66">M93+M94+M95</f>
        <v>0</v>
      </c>
      <c r="N96" s="70">
        <f t="shared" si="66"/>
        <v>0</v>
      </c>
      <c r="O96" s="70">
        <f t="shared" ref="O96:P96" si="67">O93+O94+O95</f>
        <v>0</v>
      </c>
      <c r="P96" s="70">
        <f t="shared" si="67"/>
        <v>0</v>
      </c>
      <c r="Q96" s="70">
        <f t="shared" ref="Q96:R96" si="68">Q93+Q94+Q95</f>
        <v>44</v>
      </c>
      <c r="R96" s="70">
        <f t="shared" si="68"/>
        <v>44</v>
      </c>
      <c r="S96" s="70">
        <f t="shared" si="65"/>
        <v>0</v>
      </c>
      <c r="T96" s="70">
        <f t="shared" si="65"/>
        <v>0</v>
      </c>
      <c r="U96" s="70">
        <f t="shared" si="65"/>
        <v>0</v>
      </c>
      <c r="V96" s="70">
        <f t="shared" si="65"/>
        <v>0</v>
      </c>
      <c r="W96" s="70">
        <f t="shared" si="65"/>
        <v>0</v>
      </c>
      <c r="X96" s="70">
        <f t="shared" si="65"/>
        <v>0</v>
      </c>
      <c r="Y96" s="70">
        <f t="shared" si="65"/>
        <v>0</v>
      </c>
      <c r="Z96" s="70">
        <f t="shared" si="65"/>
        <v>34</v>
      </c>
      <c r="AA96" s="70">
        <f t="shared" si="65"/>
        <v>51</v>
      </c>
      <c r="AB96" s="70">
        <f t="shared" ref="AB96:AD96" si="69">AB93+AB94+AB95</f>
        <v>51</v>
      </c>
      <c r="AC96" s="70">
        <f t="shared" si="69"/>
        <v>51</v>
      </c>
      <c r="AD96" s="70">
        <f t="shared" si="69"/>
        <v>20</v>
      </c>
      <c r="AE96" s="70">
        <f t="shared" si="65"/>
        <v>0</v>
      </c>
      <c r="AF96" s="70">
        <f t="shared" si="65"/>
        <v>0</v>
      </c>
      <c r="AG96" s="80">
        <f>SUM(AG93:AG95)</f>
        <v>106</v>
      </c>
      <c r="AH96" s="46">
        <f t="shared" si="31"/>
        <v>83.1</v>
      </c>
      <c r="AI96" s="47">
        <f t="shared" si="32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/>
      <c r="AF97" s="44"/>
      <c r="AG97" s="61"/>
      <c r="AH97" s="46">
        <f t="shared" si="31"/>
        <v>98.6</v>
      </c>
      <c r="AI97" s="47">
        <f t="shared" si="32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/>
      <c r="AF98" s="43"/>
      <c r="AG98" s="64"/>
      <c r="AH98" s="46">
        <f t="shared" si="31"/>
        <v>32.299999999999997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/>
      <c r="AF99" s="43"/>
      <c r="AG99" s="89"/>
      <c r="AH99" s="46">
        <f t="shared" si="31"/>
        <v>51.4</v>
      </c>
      <c r="AI99" s="47">
        <f t="shared" si="32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/>
      <c r="AF100" s="93"/>
      <c r="AG100" s="89"/>
      <c r="AH100" s="46">
        <f t="shared" si="31"/>
        <v>21</v>
      </c>
      <c r="AI100" s="47">
        <f t="shared" si="32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/>
      <c r="AF101" s="44"/>
      <c r="AG101" s="89"/>
      <c r="AH101" s="46">
        <f t="shared" si="31"/>
        <v>58.8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/>
      <c r="AF102" s="97"/>
      <c r="AG102" s="89"/>
      <c r="AH102" s="46">
        <f t="shared" si="31"/>
        <v>69.5</v>
      </c>
      <c r="AI102" s="47">
        <f t="shared" si="32"/>
        <v>22.1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0">SUMIF(B97:B107,"&gt;0")</f>
        <v>92.8</v>
      </c>
      <c r="C108" s="70">
        <f t="shared" si="70"/>
        <v>92.8</v>
      </c>
      <c r="D108" s="70">
        <f t="shared" ref="D108:E108" si="71">SUMIF(D97:D107,"&gt;0")</f>
        <v>81.900000000000006</v>
      </c>
      <c r="E108" s="70">
        <f t="shared" si="71"/>
        <v>81.900000000000006</v>
      </c>
      <c r="F108" s="70">
        <f t="shared" ref="F108" si="72">SUMIF(F97:F107,"&gt;0")</f>
        <v>72.7</v>
      </c>
      <c r="G108" s="70">
        <f t="shared" ref="B108:AF108" si="73">SUMIF(G97:G107,"&gt;0")</f>
        <v>132.80000000000001</v>
      </c>
      <c r="H108" s="70">
        <f t="shared" si="73"/>
        <v>122.7</v>
      </c>
      <c r="I108" s="70">
        <f t="shared" si="73"/>
        <v>120.4</v>
      </c>
      <c r="J108" s="70">
        <f t="shared" si="73"/>
        <v>116.6</v>
      </c>
      <c r="K108" s="70">
        <f t="shared" si="73"/>
        <v>133.30000000000001</v>
      </c>
      <c r="L108" s="70">
        <f t="shared" si="73"/>
        <v>132.4</v>
      </c>
      <c r="M108" s="70">
        <f t="shared" ref="M108:N108" si="74">SUMIF(M97:M107,"&gt;0")</f>
        <v>128.80000000000001</v>
      </c>
      <c r="N108" s="70">
        <f t="shared" si="74"/>
        <v>159.69999999999999</v>
      </c>
      <c r="O108" s="70">
        <f t="shared" ref="O108:P108" si="75">SUMIF(O97:O107,"&gt;0")</f>
        <v>152.6</v>
      </c>
      <c r="P108" s="70">
        <f t="shared" si="75"/>
        <v>198.7</v>
      </c>
      <c r="Q108" s="70">
        <f t="shared" ref="Q108:R108" si="76">SUMIF(Q97:Q107,"&gt;0")</f>
        <v>263.5</v>
      </c>
      <c r="R108" s="70">
        <f t="shared" si="76"/>
        <v>268.89999999999998</v>
      </c>
      <c r="S108" s="70">
        <f t="shared" si="73"/>
        <v>271.39999999999998</v>
      </c>
      <c r="T108" s="70">
        <f t="shared" si="73"/>
        <v>178</v>
      </c>
      <c r="U108" s="70">
        <f t="shared" si="73"/>
        <v>167</v>
      </c>
      <c r="V108" s="70">
        <f t="shared" si="73"/>
        <v>177.6</v>
      </c>
      <c r="W108" s="70">
        <f t="shared" si="73"/>
        <v>167.16</v>
      </c>
      <c r="X108" s="70">
        <f t="shared" si="73"/>
        <v>153.19999999999999</v>
      </c>
      <c r="Y108" s="70">
        <f t="shared" si="73"/>
        <v>164.4</v>
      </c>
      <c r="Z108" s="70">
        <f t="shared" si="73"/>
        <v>167.8</v>
      </c>
      <c r="AA108" s="70">
        <f t="shared" si="73"/>
        <v>176</v>
      </c>
      <c r="AB108" s="70">
        <f t="shared" ref="AB108:AD108" si="77">SUMIF(AB97:AB107,"&gt;0")</f>
        <v>170.9</v>
      </c>
      <c r="AC108" s="70">
        <f t="shared" si="77"/>
        <v>170.9</v>
      </c>
      <c r="AD108" s="70">
        <f t="shared" si="77"/>
        <v>100.80000000000001</v>
      </c>
      <c r="AE108" s="70">
        <f t="shared" si="73"/>
        <v>0</v>
      </c>
      <c r="AF108" s="70">
        <f t="shared" si="73"/>
        <v>0</v>
      </c>
      <c r="AG108" s="104">
        <f>SUM(AG97:AG107)</f>
        <v>0</v>
      </c>
      <c r="AH108" s="46">
        <f t="shared" si="31"/>
        <v>271.39999999999998</v>
      </c>
      <c r="AI108" s="47">
        <f t="shared" si="32"/>
        <v>0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8">B71+B78+B96+B92+B108+B112</f>
        <v>2094.7299999999996</v>
      </c>
      <c r="C113" s="108">
        <f t="shared" si="78"/>
        <v>2098.2199999999998</v>
      </c>
      <c r="D113" s="108">
        <f t="shared" ref="D113:E113" si="79">D71+D78+D96+D92+D108+D112</f>
        <v>2116.2199999999998</v>
      </c>
      <c r="E113" s="108">
        <f t="shared" si="79"/>
        <v>2043.2199999999998</v>
      </c>
      <c r="F113" s="108">
        <f t="shared" ref="F113" si="80">F71+F78+F96+F92+F108+F112</f>
        <v>1971.82</v>
      </c>
      <c r="G113" s="108">
        <f t="shared" ref="B113:AG113" si="81">G71+G78+G96+G92+G108+G112</f>
        <v>1933.8199999999995</v>
      </c>
      <c r="H113" s="108">
        <f t="shared" si="81"/>
        <v>1810.6299999999997</v>
      </c>
      <c r="I113" s="108">
        <f t="shared" si="81"/>
        <v>1849.53</v>
      </c>
      <c r="J113" s="108">
        <f t="shared" si="81"/>
        <v>1966.2299999999998</v>
      </c>
      <c r="K113" s="108">
        <f t="shared" si="81"/>
        <v>2061.6299999999997</v>
      </c>
      <c r="L113" s="108">
        <f t="shared" si="81"/>
        <v>2010.9299999999998</v>
      </c>
      <c r="M113" s="108">
        <f t="shared" ref="M113:N113" si="82">M71+M78+M96+M92+M108+M112</f>
        <v>2038.4099999999996</v>
      </c>
      <c r="N113" s="108">
        <f t="shared" si="82"/>
        <v>2030.81</v>
      </c>
      <c r="O113" s="108">
        <f t="shared" ref="O113:P113" si="83">O71+O78+O96+O92+O108+O112</f>
        <v>1946.4099999999996</v>
      </c>
      <c r="P113" s="108">
        <f t="shared" si="83"/>
        <v>1762.31</v>
      </c>
      <c r="Q113" s="108">
        <f t="shared" ref="Q113:R113" si="84">Q71+Q78+Q96+Q92+Q108+Q112</f>
        <v>1868.6100000000001</v>
      </c>
      <c r="R113" s="108">
        <f t="shared" si="84"/>
        <v>1853.31</v>
      </c>
      <c r="S113" s="108">
        <f t="shared" si="81"/>
        <v>1846.7000000000003</v>
      </c>
      <c r="T113" s="108">
        <f t="shared" si="81"/>
        <v>2004.2</v>
      </c>
      <c r="U113" s="108">
        <f t="shared" si="81"/>
        <v>1948.6</v>
      </c>
      <c r="V113" s="108">
        <f t="shared" si="81"/>
        <v>1855.9899999999998</v>
      </c>
      <c r="W113" s="108">
        <f t="shared" si="81"/>
        <v>1761.86</v>
      </c>
      <c r="X113" s="108">
        <f t="shared" si="81"/>
        <v>1728.6</v>
      </c>
      <c r="Y113" s="108">
        <f t="shared" si="81"/>
        <v>1710.6</v>
      </c>
      <c r="Z113" s="108">
        <f t="shared" si="81"/>
        <v>1911.4999999999998</v>
      </c>
      <c r="AA113" s="108">
        <f t="shared" si="81"/>
        <v>1936.6999999999998</v>
      </c>
      <c r="AB113" s="108">
        <f t="shared" ref="AB113:AD113" si="85">AB71+AB78+AB96+AB92+AB108+AB112</f>
        <v>2187.1</v>
      </c>
      <c r="AC113" s="108">
        <f t="shared" si="85"/>
        <v>2187.1</v>
      </c>
      <c r="AD113" s="108">
        <f t="shared" si="85"/>
        <v>2007.7999999999995</v>
      </c>
      <c r="AE113" s="108">
        <f t="shared" si="81"/>
        <v>172</v>
      </c>
      <c r="AF113" s="108">
        <f t="shared" si="81"/>
        <v>172</v>
      </c>
      <c r="AG113" s="80">
        <f t="shared" si="81"/>
        <v>3169.915</v>
      </c>
      <c r="AH113" s="46">
        <f t="shared" si="31"/>
        <v>2187.1</v>
      </c>
      <c r="AI113" s="47">
        <f t="shared" si="32"/>
        <v>172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24</v>
      </c>
      <c r="AI114" s="47">
        <f t="shared" si="32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6">B113+B114</f>
        <v>2114.7299999999996</v>
      </c>
      <c r="C115" s="108">
        <f t="shared" si="86"/>
        <v>2119.2199999999998</v>
      </c>
      <c r="D115" s="108">
        <f t="shared" ref="D115:E115" si="87">D113+D114</f>
        <v>2138.2199999999998</v>
      </c>
      <c r="E115" s="108">
        <f t="shared" si="87"/>
        <v>2066.2199999999998</v>
      </c>
      <c r="F115" s="108">
        <f t="shared" ref="F115" si="88">F113+F114</f>
        <v>1995.82</v>
      </c>
      <c r="G115" s="108">
        <f t="shared" ref="C115:AF115" si="89">G113+G114</f>
        <v>1933.8199999999995</v>
      </c>
      <c r="H115" s="108">
        <f t="shared" si="89"/>
        <v>1810.6299999999997</v>
      </c>
      <c r="I115" s="108">
        <f t="shared" si="89"/>
        <v>1849.53</v>
      </c>
      <c r="J115" s="108">
        <f t="shared" si="89"/>
        <v>1966.2299999999998</v>
      </c>
      <c r="K115" s="108">
        <f t="shared" si="89"/>
        <v>2061.6299999999997</v>
      </c>
      <c r="L115" s="108">
        <f t="shared" si="89"/>
        <v>2010.9299999999998</v>
      </c>
      <c r="M115" s="108">
        <f t="shared" ref="M115:N115" si="90">M113+M114</f>
        <v>2038.4099999999996</v>
      </c>
      <c r="N115" s="108">
        <f t="shared" si="90"/>
        <v>2030.81</v>
      </c>
      <c r="O115" s="108">
        <f t="shared" ref="O115:P115" si="91">O113+O114</f>
        <v>1946.4099999999996</v>
      </c>
      <c r="P115" s="108">
        <f t="shared" si="91"/>
        <v>1762.31</v>
      </c>
      <c r="Q115" s="108">
        <f t="shared" ref="Q115:R115" si="92">Q113+Q114</f>
        <v>1868.6100000000001</v>
      </c>
      <c r="R115" s="108">
        <f t="shared" si="92"/>
        <v>1853.31</v>
      </c>
      <c r="S115" s="108">
        <f t="shared" si="89"/>
        <v>1846.7000000000003</v>
      </c>
      <c r="T115" s="108">
        <f t="shared" si="89"/>
        <v>2004.2</v>
      </c>
      <c r="U115" s="108">
        <f t="shared" si="89"/>
        <v>1948.6</v>
      </c>
      <c r="V115" s="108">
        <f t="shared" si="89"/>
        <v>1855.9899999999998</v>
      </c>
      <c r="W115" s="108">
        <f t="shared" si="89"/>
        <v>1761.86</v>
      </c>
      <c r="X115" s="108">
        <f t="shared" si="89"/>
        <v>1728.6</v>
      </c>
      <c r="Y115" s="108">
        <f t="shared" si="89"/>
        <v>1710.6</v>
      </c>
      <c r="Z115" s="108">
        <f t="shared" si="89"/>
        <v>1911.4999999999998</v>
      </c>
      <c r="AA115" s="108">
        <f t="shared" si="89"/>
        <v>1936.6999999999998</v>
      </c>
      <c r="AB115" s="108">
        <f t="shared" ref="AB115:AD115" si="93">AB113+AB114</f>
        <v>2187.1</v>
      </c>
      <c r="AC115" s="108">
        <f t="shared" si="93"/>
        <v>2187.1</v>
      </c>
      <c r="AD115" s="108">
        <f t="shared" si="93"/>
        <v>2007.7999999999995</v>
      </c>
      <c r="AE115" s="108">
        <f t="shared" si="89"/>
        <v>172</v>
      </c>
      <c r="AF115" s="108">
        <f t="shared" si="89"/>
        <v>172</v>
      </c>
      <c r="AG115" s="104">
        <f>AG112+AG108+AG96+AG92+AG71+AG114</f>
        <v>2463.5149999999999</v>
      </c>
      <c r="AH115" s="46">
        <f t="shared" si="31"/>
        <v>2187.1</v>
      </c>
      <c r="AI115" s="47">
        <f t="shared" si="32"/>
        <v>172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4">B115-(B123)</f>
        <v>1714.7299999999996</v>
      </c>
      <c r="C116" s="108">
        <f t="shared" si="94"/>
        <v>1719.2199999999998</v>
      </c>
      <c r="D116" s="108">
        <f t="shared" ref="D116:E116" si="95">D115-(D123)</f>
        <v>1638.2199999999998</v>
      </c>
      <c r="E116" s="108">
        <f t="shared" si="95"/>
        <v>1584.2199999999998</v>
      </c>
      <c r="F116" s="108">
        <f t="shared" ref="F116" si="96">F115-(F123)</f>
        <v>1543.82</v>
      </c>
      <c r="G116" s="108">
        <f t="shared" ref="C116:AF116" si="97">G115-(G123)</f>
        <v>1521.8199999999995</v>
      </c>
      <c r="H116" s="108">
        <f t="shared" si="97"/>
        <v>1514.6299999999997</v>
      </c>
      <c r="I116" s="108">
        <f t="shared" si="97"/>
        <v>1552.73</v>
      </c>
      <c r="J116" s="108">
        <f t="shared" si="97"/>
        <v>1662.2299999999998</v>
      </c>
      <c r="K116" s="108">
        <f t="shared" si="97"/>
        <v>1698.6299999999997</v>
      </c>
      <c r="L116" s="108">
        <f t="shared" si="97"/>
        <v>1771.0299999999997</v>
      </c>
      <c r="M116" s="108">
        <f t="shared" ref="M116:N116" si="98">M115-(M123)</f>
        <v>1728.8099999999995</v>
      </c>
      <c r="N116" s="108">
        <f t="shared" si="98"/>
        <v>1759.9099999999999</v>
      </c>
      <c r="O116" s="108">
        <f t="shared" ref="O116:P116" si="99">O115-(O123)</f>
        <v>1811.9099999999996</v>
      </c>
      <c r="P116" s="108">
        <f t="shared" si="99"/>
        <v>1762.31</v>
      </c>
      <c r="Q116" s="108">
        <f t="shared" ref="Q116:R116" si="100">Q115-(Q123)</f>
        <v>1868.6100000000001</v>
      </c>
      <c r="R116" s="108">
        <f t="shared" si="100"/>
        <v>1853.31</v>
      </c>
      <c r="S116" s="108">
        <f t="shared" si="97"/>
        <v>1846.7000000000003</v>
      </c>
      <c r="T116" s="108">
        <f t="shared" si="97"/>
        <v>1841.7</v>
      </c>
      <c r="U116" s="108">
        <f t="shared" si="97"/>
        <v>1789.6</v>
      </c>
      <c r="V116" s="108">
        <f t="shared" si="97"/>
        <v>1783.3899999999999</v>
      </c>
      <c r="W116" s="108">
        <f t="shared" si="97"/>
        <v>1721.26</v>
      </c>
      <c r="X116" s="108">
        <f t="shared" si="97"/>
        <v>1687.3</v>
      </c>
      <c r="Y116" s="108">
        <f t="shared" si="97"/>
        <v>1604.6</v>
      </c>
      <c r="Z116" s="108">
        <f t="shared" si="97"/>
        <v>1829.6999999999998</v>
      </c>
      <c r="AA116" s="108">
        <f t="shared" si="97"/>
        <v>1677.6999999999998</v>
      </c>
      <c r="AB116" s="108">
        <f t="shared" ref="AB116:AD116" si="101">AB115-(AB123)</f>
        <v>1815.8999999999999</v>
      </c>
      <c r="AC116" s="108">
        <f t="shared" si="101"/>
        <v>1815.8999999999999</v>
      </c>
      <c r="AD116" s="108">
        <f t="shared" si="101"/>
        <v>1768.5999999999995</v>
      </c>
      <c r="AE116" s="108">
        <f t="shared" si="97"/>
        <v>172</v>
      </c>
      <c r="AF116" s="108">
        <f t="shared" si="97"/>
        <v>172</v>
      </c>
      <c r="AG116" s="104"/>
      <c r="AH116" s="46">
        <f t="shared" si="31"/>
        <v>1868.6100000000001</v>
      </c>
      <c r="AI116" s="47">
        <f t="shared" si="32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02">IF(B97&lt;0,B97*-1,0)</f>
        <v>400</v>
      </c>
      <c r="C117" s="93">
        <f t="shared" si="102"/>
        <v>400</v>
      </c>
      <c r="D117" s="93">
        <f t="shared" ref="D117:E117" si="103">IF(D97&lt;0,D97*-1,0)</f>
        <v>500</v>
      </c>
      <c r="E117" s="93">
        <f t="shared" si="103"/>
        <v>482</v>
      </c>
      <c r="F117" s="93">
        <f t="shared" ref="F117" si="104">IF(F97&lt;0,F97*-1,0)</f>
        <v>452</v>
      </c>
      <c r="G117" s="93">
        <f t="shared" ref="B117:AF122" si="105">IF(G97&lt;0,G97*-1,0)</f>
        <v>412</v>
      </c>
      <c r="H117" s="93">
        <f t="shared" si="105"/>
        <v>296</v>
      </c>
      <c r="I117" s="93">
        <f t="shared" si="105"/>
        <v>296.8</v>
      </c>
      <c r="J117" s="93">
        <f t="shared" si="105"/>
        <v>304</v>
      </c>
      <c r="K117" s="93">
        <f t="shared" si="105"/>
        <v>363</v>
      </c>
      <c r="L117" s="93">
        <f t="shared" si="105"/>
        <v>239.9</v>
      </c>
      <c r="M117" s="93">
        <f t="shared" ref="M117:N117" si="106">IF(M97&lt;0,M97*-1,0)</f>
        <v>309.60000000000002</v>
      </c>
      <c r="N117" s="93">
        <f t="shared" si="106"/>
        <v>270.89999999999998</v>
      </c>
      <c r="O117" s="93">
        <f t="shared" ref="O117:P117" si="107">IF(O97&lt;0,O97*-1,0)</f>
        <v>134.5</v>
      </c>
      <c r="P117" s="93">
        <f t="shared" si="107"/>
        <v>0</v>
      </c>
      <c r="Q117" s="93">
        <f t="shared" ref="Q117:R117" si="108">IF(Q97&lt;0,Q97*-1,0)</f>
        <v>0</v>
      </c>
      <c r="R117" s="93">
        <f t="shared" si="108"/>
        <v>0</v>
      </c>
      <c r="S117" s="93">
        <f t="shared" si="105"/>
        <v>0</v>
      </c>
      <c r="T117" s="93">
        <f t="shared" si="105"/>
        <v>162.5</v>
      </c>
      <c r="U117" s="93">
        <f t="shared" si="105"/>
        <v>159</v>
      </c>
      <c r="V117" s="93">
        <f t="shared" si="105"/>
        <v>72.599999999999994</v>
      </c>
      <c r="W117" s="93">
        <f t="shared" si="105"/>
        <v>40.6</v>
      </c>
      <c r="X117" s="93">
        <f t="shared" si="105"/>
        <v>41.3</v>
      </c>
      <c r="Y117" s="93">
        <f t="shared" si="105"/>
        <v>106</v>
      </c>
      <c r="Z117" s="93">
        <f t="shared" si="105"/>
        <v>81.8</v>
      </c>
      <c r="AA117" s="93">
        <f t="shared" si="105"/>
        <v>259</v>
      </c>
      <c r="AB117" s="93">
        <f t="shared" ref="AB117:AD117" si="109">IF(AB97&lt;0,AB97*-1,0)</f>
        <v>371.2</v>
      </c>
      <c r="AC117" s="93">
        <f t="shared" si="109"/>
        <v>371.2</v>
      </c>
      <c r="AD117" s="93">
        <f t="shared" si="109"/>
        <v>239.2</v>
      </c>
      <c r="AE117" s="93">
        <f t="shared" si="105"/>
        <v>0</v>
      </c>
      <c r="AF117" s="93">
        <f t="shared" si="105"/>
        <v>0</v>
      </c>
      <c r="AG117" s="61"/>
      <c r="AH117" s="46">
        <f t="shared" si="31"/>
        <v>500</v>
      </c>
      <c r="AI117" s="47">
        <f t="shared" si="3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02"/>
        <v>0</v>
      </c>
      <c r="C118" s="93">
        <f t="shared" si="102"/>
        <v>0</v>
      </c>
      <c r="D118" s="93">
        <f t="shared" ref="D118:E118" si="110">IF(D98&lt;0,D98*-1,0)</f>
        <v>0</v>
      </c>
      <c r="E118" s="93">
        <f t="shared" si="110"/>
        <v>0</v>
      </c>
      <c r="F118" s="93">
        <f t="shared" ref="F118" si="111">IF(F98&lt;0,F98*-1,0)</f>
        <v>0</v>
      </c>
      <c r="G118" s="93">
        <f t="shared" si="105"/>
        <v>0</v>
      </c>
      <c r="H118" s="93">
        <f t="shared" si="105"/>
        <v>0</v>
      </c>
      <c r="I118" s="93">
        <f t="shared" si="105"/>
        <v>0</v>
      </c>
      <c r="J118" s="93">
        <f t="shared" si="105"/>
        <v>0</v>
      </c>
      <c r="K118" s="93">
        <f t="shared" si="105"/>
        <v>0</v>
      </c>
      <c r="L118" s="93">
        <f t="shared" si="105"/>
        <v>0</v>
      </c>
      <c r="M118" s="93">
        <f t="shared" ref="M118:N118" si="112">IF(M98&lt;0,M98*-1,0)</f>
        <v>0</v>
      </c>
      <c r="N118" s="93">
        <f t="shared" si="112"/>
        <v>0</v>
      </c>
      <c r="O118" s="93">
        <f t="shared" ref="O118:P118" si="113">IF(O98&lt;0,O98*-1,0)</f>
        <v>0</v>
      </c>
      <c r="P118" s="93">
        <f t="shared" si="113"/>
        <v>0</v>
      </c>
      <c r="Q118" s="93">
        <f t="shared" ref="Q118:R118" si="114">IF(Q98&lt;0,Q98*-1,0)</f>
        <v>0</v>
      </c>
      <c r="R118" s="93">
        <f t="shared" si="114"/>
        <v>0</v>
      </c>
      <c r="S118" s="93">
        <f t="shared" si="105"/>
        <v>0</v>
      </c>
      <c r="T118" s="93">
        <f t="shared" si="105"/>
        <v>0</v>
      </c>
      <c r="U118" s="93">
        <f t="shared" si="105"/>
        <v>0</v>
      </c>
      <c r="V118" s="93">
        <f t="shared" si="105"/>
        <v>0</v>
      </c>
      <c r="W118" s="93">
        <f t="shared" si="105"/>
        <v>0</v>
      </c>
      <c r="X118" s="93">
        <f t="shared" si="105"/>
        <v>0</v>
      </c>
      <c r="Y118" s="93">
        <f t="shared" si="105"/>
        <v>0</v>
      </c>
      <c r="Z118" s="93">
        <f t="shared" si="105"/>
        <v>0</v>
      </c>
      <c r="AA118" s="93">
        <f t="shared" si="105"/>
        <v>0</v>
      </c>
      <c r="AB118" s="93">
        <f t="shared" ref="AB118:AD118" si="115">IF(AB98&lt;0,AB98*-1,0)</f>
        <v>0</v>
      </c>
      <c r="AC118" s="93">
        <f t="shared" si="115"/>
        <v>0</v>
      </c>
      <c r="AD118" s="93">
        <f t="shared" si="115"/>
        <v>0</v>
      </c>
      <c r="AE118" s="93">
        <f t="shared" si="105"/>
        <v>0</v>
      </c>
      <c r="AF118" s="93">
        <f t="shared" si="105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02"/>
        <v>0</v>
      </c>
      <c r="C119" s="93">
        <f t="shared" si="102"/>
        <v>0</v>
      </c>
      <c r="D119" s="93">
        <f t="shared" ref="D119:E119" si="116">IF(D99&lt;0,D99*-1,0)</f>
        <v>0</v>
      </c>
      <c r="E119" s="93">
        <f t="shared" si="116"/>
        <v>0</v>
      </c>
      <c r="F119" s="93">
        <f t="shared" ref="F119" si="117">IF(F99&lt;0,F99*-1,0)</f>
        <v>0</v>
      </c>
      <c r="G119" s="93">
        <f t="shared" si="105"/>
        <v>0</v>
      </c>
      <c r="H119" s="93">
        <f t="shared" si="105"/>
        <v>0</v>
      </c>
      <c r="I119" s="93">
        <f t="shared" si="105"/>
        <v>0</v>
      </c>
      <c r="J119" s="93">
        <f t="shared" si="105"/>
        <v>0</v>
      </c>
      <c r="K119" s="93">
        <f t="shared" si="105"/>
        <v>0</v>
      </c>
      <c r="L119" s="93">
        <f t="shared" si="105"/>
        <v>0</v>
      </c>
      <c r="M119" s="93">
        <f t="shared" ref="M119:N119" si="118">IF(M99&lt;0,M99*-1,0)</f>
        <v>0</v>
      </c>
      <c r="N119" s="93">
        <f t="shared" si="118"/>
        <v>0</v>
      </c>
      <c r="O119" s="93">
        <f t="shared" ref="O119:P119" si="119">IF(O99&lt;0,O99*-1,0)</f>
        <v>0</v>
      </c>
      <c r="P119" s="93">
        <f t="shared" si="119"/>
        <v>0</v>
      </c>
      <c r="Q119" s="93">
        <f t="shared" ref="Q119:R119" si="120">IF(Q99&lt;0,Q99*-1,0)</f>
        <v>0</v>
      </c>
      <c r="R119" s="93">
        <f t="shared" si="120"/>
        <v>0</v>
      </c>
      <c r="S119" s="93">
        <f t="shared" si="105"/>
        <v>0</v>
      </c>
      <c r="T119" s="93">
        <f t="shared" si="105"/>
        <v>0</v>
      </c>
      <c r="U119" s="93">
        <f t="shared" si="105"/>
        <v>0</v>
      </c>
      <c r="V119" s="93">
        <f t="shared" si="105"/>
        <v>0</v>
      </c>
      <c r="W119" s="93">
        <f t="shared" si="105"/>
        <v>0</v>
      </c>
      <c r="X119" s="93">
        <f t="shared" si="105"/>
        <v>0</v>
      </c>
      <c r="Y119" s="93">
        <f t="shared" si="105"/>
        <v>0</v>
      </c>
      <c r="Z119" s="93">
        <f t="shared" si="105"/>
        <v>0</v>
      </c>
      <c r="AA119" s="93">
        <f t="shared" si="105"/>
        <v>0</v>
      </c>
      <c r="AB119" s="93">
        <f t="shared" ref="AB119:AD119" si="121">IF(AB99&lt;0,AB99*-1,0)</f>
        <v>0</v>
      </c>
      <c r="AC119" s="93">
        <f t="shared" si="121"/>
        <v>0</v>
      </c>
      <c r="AD119" s="93">
        <f t="shared" si="121"/>
        <v>0</v>
      </c>
      <c r="AE119" s="93">
        <f t="shared" si="105"/>
        <v>0</v>
      </c>
      <c r="AF119" s="93">
        <f t="shared" si="10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102"/>
        <v>0</v>
      </c>
      <c r="C120" s="93">
        <f t="shared" si="102"/>
        <v>0</v>
      </c>
      <c r="D120" s="93">
        <f t="shared" ref="D120:E120" si="122">IF(D100&lt;0,D100*-1,0)</f>
        <v>0</v>
      </c>
      <c r="E120" s="93">
        <f t="shared" si="122"/>
        <v>0</v>
      </c>
      <c r="F120" s="93">
        <f t="shared" ref="F120" si="123">IF(F100&lt;0,F100*-1,0)</f>
        <v>0</v>
      </c>
      <c r="G120" s="93">
        <f t="shared" si="105"/>
        <v>0</v>
      </c>
      <c r="H120" s="93">
        <f t="shared" si="105"/>
        <v>0</v>
      </c>
      <c r="I120" s="93">
        <f t="shared" si="105"/>
        <v>0</v>
      </c>
      <c r="J120" s="93">
        <f t="shared" si="105"/>
        <v>0</v>
      </c>
      <c r="K120" s="93">
        <f t="shared" si="105"/>
        <v>0</v>
      </c>
      <c r="L120" s="93">
        <f t="shared" si="105"/>
        <v>0</v>
      </c>
      <c r="M120" s="93">
        <f t="shared" ref="M120:N120" si="124">IF(M100&lt;0,M100*-1,0)</f>
        <v>0</v>
      </c>
      <c r="N120" s="93">
        <f t="shared" si="124"/>
        <v>0</v>
      </c>
      <c r="O120" s="93">
        <f t="shared" ref="O120:P120" si="125">IF(O100&lt;0,O100*-1,0)</f>
        <v>0</v>
      </c>
      <c r="P120" s="93">
        <f t="shared" si="125"/>
        <v>0</v>
      </c>
      <c r="Q120" s="93">
        <f t="shared" ref="Q120:R120" si="126">IF(Q100&lt;0,Q100*-1,0)</f>
        <v>0</v>
      </c>
      <c r="R120" s="93">
        <f t="shared" si="126"/>
        <v>0</v>
      </c>
      <c r="S120" s="93">
        <f t="shared" si="105"/>
        <v>0</v>
      </c>
      <c r="T120" s="93">
        <f t="shared" si="105"/>
        <v>0</v>
      </c>
      <c r="U120" s="93">
        <f t="shared" si="105"/>
        <v>0</v>
      </c>
      <c r="V120" s="93">
        <f t="shared" si="105"/>
        <v>0</v>
      </c>
      <c r="W120" s="93">
        <f t="shared" si="105"/>
        <v>0</v>
      </c>
      <c r="X120" s="93">
        <f t="shared" si="105"/>
        <v>0</v>
      </c>
      <c r="Y120" s="93">
        <f t="shared" si="105"/>
        <v>0</v>
      </c>
      <c r="Z120" s="93">
        <f t="shared" si="105"/>
        <v>0</v>
      </c>
      <c r="AA120" s="93">
        <f t="shared" si="105"/>
        <v>0</v>
      </c>
      <c r="AB120" s="93">
        <f t="shared" ref="AB120:AD120" si="127">IF(AB100&lt;0,AB100*-1,0)</f>
        <v>0</v>
      </c>
      <c r="AC120" s="93">
        <f t="shared" si="127"/>
        <v>0</v>
      </c>
      <c r="AD120" s="93">
        <f t="shared" si="127"/>
        <v>0</v>
      </c>
      <c r="AE120" s="93">
        <f t="shared" si="105"/>
        <v>0</v>
      </c>
      <c r="AF120" s="93">
        <f t="shared" si="105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102"/>
        <v>0</v>
      </c>
      <c r="C121" s="93">
        <f t="shared" si="102"/>
        <v>0</v>
      </c>
      <c r="D121" s="93">
        <f t="shared" ref="D121:E121" si="128">IF(D101&lt;0,D101*-1,0)</f>
        <v>0</v>
      </c>
      <c r="E121" s="93">
        <f t="shared" si="128"/>
        <v>0</v>
      </c>
      <c r="F121" s="93">
        <f t="shared" ref="F121" si="129">IF(F101&lt;0,F101*-1,0)</f>
        <v>0</v>
      </c>
      <c r="G121" s="93">
        <f t="shared" si="105"/>
        <v>0</v>
      </c>
      <c r="H121" s="93">
        <f t="shared" si="105"/>
        <v>0</v>
      </c>
      <c r="I121" s="93">
        <f t="shared" si="105"/>
        <v>0</v>
      </c>
      <c r="J121" s="93">
        <f t="shared" si="105"/>
        <v>0</v>
      </c>
      <c r="K121" s="93">
        <f t="shared" si="105"/>
        <v>0</v>
      </c>
      <c r="L121" s="93">
        <f t="shared" si="105"/>
        <v>0</v>
      </c>
      <c r="M121" s="93">
        <f t="shared" ref="M121:N121" si="130">IF(M101&lt;0,M101*-1,0)</f>
        <v>0</v>
      </c>
      <c r="N121" s="93">
        <f t="shared" si="130"/>
        <v>0</v>
      </c>
      <c r="O121" s="93">
        <f t="shared" ref="O121:P121" si="131">IF(O101&lt;0,O101*-1,0)</f>
        <v>0</v>
      </c>
      <c r="P121" s="93">
        <f t="shared" si="131"/>
        <v>0</v>
      </c>
      <c r="Q121" s="93">
        <f t="shared" ref="Q121:R121" si="132">IF(Q101&lt;0,Q101*-1,0)</f>
        <v>0</v>
      </c>
      <c r="R121" s="93">
        <f t="shared" si="132"/>
        <v>0</v>
      </c>
      <c r="S121" s="93">
        <f t="shared" si="105"/>
        <v>0</v>
      </c>
      <c r="T121" s="93">
        <f t="shared" si="105"/>
        <v>0</v>
      </c>
      <c r="U121" s="93">
        <f t="shared" si="105"/>
        <v>0</v>
      </c>
      <c r="V121" s="93">
        <f t="shared" si="105"/>
        <v>0</v>
      </c>
      <c r="W121" s="93">
        <f t="shared" si="105"/>
        <v>0</v>
      </c>
      <c r="X121" s="93">
        <f t="shared" si="105"/>
        <v>0</v>
      </c>
      <c r="Y121" s="93">
        <f t="shared" si="105"/>
        <v>0</v>
      </c>
      <c r="Z121" s="93">
        <f t="shared" si="105"/>
        <v>0</v>
      </c>
      <c r="AA121" s="93">
        <f t="shared" si="105"/>
        <v>0</v>
      </c>
      <c r="AB121" s="93">
        <f t="shared" ref="AB121:AD121" si="133">IF(AB101&lt;0,AB101*-1,0)</f>
        <v>0</v>
      </c>
      <c r="AC121" s="93">
        <f t="shared" si="133"/>
        <v>0</v>
      </c>
      <c r="AD121" s="93">
        <f t="shared" si="133"/>
        <v>0</v>
      </c>
      <c r="AE121" s="93">
        <f t="shared" si="105"/>
        <v>0</v>
      </c>
      <c r="AF121" s="93">
        <f t="shared" si="105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102"/>
        <v>0</v>
      </c>
      <c r="C122" s="93">
        <f t="shared" si="102"/>
        <v>0</v>
      </c>
      <c r="D122" s="93">
        <f t="shared" ref="D122:E122" si="134">IF(D102&lt;0,D102*-1,0)</f>
        <v>0</v>
      </c>
      <c r="E122" s="93">
        <f t="shared" si="134"/>
        <v>0</v>
      </c>
      <c r="F122" s="93">
        <f t="shared" ref="F122" si="135">IF(F102&lt;0,F102*-1,0)</f>
        <v>0</v>
      </c>
      <c r="G122" s="93">
        <f t="shared" si="105"/>
        <v>0</v>
      </c>
      <c r="H122" s="93">
        <f t="shared" si="105"/>
        <v>0</v>
      </c>
      <c r="I122" s="93">
        <f t="shared" si="105"/>
        <v>0</v>
      </c>
      <c r="J122" s="93">
        <f t="shared" si="105"/>
        <v>0</v>
      </c>
      <c r="K122" s="93">
        <f t="shared" si="105"/>
        <v>0</v>
      </c>
      <c r="L122" s="93">
        <f t="shared" si="105"/>
        <v>0</v>
      </c>
      <c r="M122" s="93">
        <f t="shared" ref="M122:N122" si="136">IF(M102&lt;0,M102*-1,0)</f>
        <v>0</v>
      </c>
      <c r="N122" s="93">
        <f t="shared" si="136"/>
        <v>0</v>
      </c>
      <c r="O122" s="93">
        <f t="shared" ref="O122:P122" si="137">IF(O102&lt;0,O102*-1,0)</f>
        <v>0</v>
      </c>
      <c r="P122" s="93">
        <f t="shared" si="137"/>
        <v>0</v>
      </c>
      <c r="Q122" s="93">
        <f t="shared" ref="Q122:R122" si="138">IF(Q102&lt;0,Q102*-1,0)</f>
        <v>0</v>
      </c>
      <c r="R122" s="93">
        <f t="shared" si="138"/>
        <v>0</v>
      </c>
      <c r="S122" s="93">
        <f t="shared" si="105"/>
        <v>0</v>
      </c>
      <c r="T122" s="93">
        <f t="shared" si="105"/>
        <v>0</v>
      </c>
      <c r="U122" s="93">
        <f t="shared" si="105"/>
        <v>0</v>
      </c>
      <c r="V122" s="93">
        <f t="shared" si="105"/>
        <v>0</v>
      </c>
      <c r="W122" s="93">
        <f t="shared" si="105"/>
        <v>0</v>
      </c>
      <c r="X122" s="93">
        <f t="shared" si="105"/>
        <v>0</v>
      </c>
      <c r="Y122" s="93">
        <f t="shared" si="105"/>
        <v>0</v>
      </c>
      <c r="Z122" s="93">
        <f t="shared" si="105"/>
        <v>0</v>
      </c>
      <c r="AA122" s="93">
        <f t="shared" si="105"/>
        <v>0</v>
      </c>
      <c r="AB122" s="93">
        <f t="shared" ref="AB122:AD122" si="139">IF(AB102&lt;0,AB102*-1,0)</f>
        <v>0</v>
      </c>
      <c r="AC122" s="93">
        <f t="shared" si="139"/>
        <v>0</v>
      </c>
      <c r="AD122" s="93">
        <f t="shared" si="139"/>
        <v>0</v>
      </c>
      <c r="AE122" s="93">
        <f t="shared" si="105"/>
        <v>0</v>
      </c>
      <c r="AF122" s="93">
        <f t="shared" si="105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40">SUM(B117:B122)</f>
        <v>400</v>
      </c>
      <c r="C123" s="70">
        <f t="shared" si="140"/>
        <v>400</v>
      </c>
      <c r="D123" s="70">
        <f t="shared" ref="D123:E123" si="141">SUM(D117:D122)</f>
        <v>500</v>
      </c>
      <c r="E123" s="70">
        <f t="shared" si="141"/>
        <v>482</v>
      </c>
      <c r="F123" s="70">
        <f t="shared" ref="F123" si="142">SUM(F117:F122)</f>
        <v>452</v>
      </c>
      <c r="G123" s="70">
        <f t="shared" ref="B123:AF123" si="143">SUM(G117:G122)</f>
        <v>412</v>
      </c>
      <c r="H123" s="70">
        <f t="shared" si="143"/>
        <v>296</v>
      </c>
      <c r="I123" s="70">
        <f t="shared" si="143"/>
        <v>296.8</v>
      </c>
      <c r="J123" s="70">
        <f t="shared" si="143"/>
        <v>304</v>
      </c>
      <c r="K123" s="70">
        <f t="shared" si="143"/>
        <v>363</v>
      </c>
      <c r="L123" s="70">
        <f t="shared" si="143"/>
        <v>239.9</v>
      </c>
      <c r="M123" s="70">
        <f t="shared" ref="M123:N123" si="144">SUM(M117:M122)</f>
        <v>309.60000000000002</v>
      </c>
      <c r="N123" s="70">
        <f t="shared" si="144"/>
        <v>270.89999999999998</v>
      </c>
      <c r="O123" s="70">
        <f t="shared" ref="O123:P123" si="145">SUM(O117:O122)</f>
        <v>134.5</v>
      </c>
      <c r="P123" s="70">
        <f t="shared" si="145"/>
        <v>0</v>
      </c>
      <c r="Q123" s="70">
        <f t="shared" ref="Q123:R123" si="146">SUM(Q117:Q122)</f>
        <v>0</v>
      </c>
      <c r="R123" s="70">
        <f t="shared" si="146"/>
        <v>0</v>
      </c>
      <c r="S123" s="70">
        <f t="shared" si="143"/>
        <v>0</v>
      </c>
      <c r="T123" s="70">
        <f t="shared" si="143"/>
        <v>162.5</v>
      </c>
      <c r="U123" s="70">
        <f t="shared" si="143"/>
        <v>159</v>
      </c>
      <c r="V123" s="70">
        <f t="shared" si="143"/>
        <v>72.599999999999994</v>
      </c>
      <c r="W123" s="70">
        <f t="shared" si="143"/>
        <v>40.6</v>
      </c>
      <c r="X123" s="70">
        <f t="shared" si="143"/>
        <v>41.3</v>
      </c>
      <c r="Y123" s="70">
        <f t="shared" si="143"/>
        <v>106</v>
      </c>
      <c r="Z123" s="70">
        <f t="shared" si="143"/>
        <v>81.8</v>
      </c>
      <c r="AA123" s="70">
        <f t="shared" si="143"/>
        <v>259</v>
      </c>
      <c r="AB123" s="70">
        <f t="shared" ref="AB123:AD123" si="147">SUM(AB117:AB122)</f>
        <v>371.2</v>
      </c>
      <c r="AC123" s="70">
        <f t="shared" si="147"/>
        <v>371.2</v>
      </c>
      <c r="AD123" s="70">
        <f t="shared" si="147"/>
        <v>239.2</v>
      </c>
      <c r="AE123" s="70">
        <f t="shared" si="143"/>
        <v>0</v>
      </c>
      <c r="AF123" s="70">
        <f t="shared" si="143"/>
        <v>0</v>
      </c>
      <c r="AG123" s="104"/>
      <c r="AH123" s="46">
        <f t="shared" si="31"/>
        <v>500</v>
      </c>
      <c r="AI123" s="47">
        <f t="shared" si="32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48">B108-B123</f>
        <v>-307.2</v>
      </c>
      <c r="C124" s="70">
        <f t="shared" si="148"/>
        <v>-307.2</v>
      </c>
      <c r="D124" s="70">
        <f t="shared" ref="D124:E124" si="149">D108-D123</f>
        <v>-418.1</v>
      </c>
      <c r="E124" s="70">
        <f t="shared" si="149"/>
        <v>-400.1</v>
      </c>
      <c r="F124" s="70">
        <f t="shared" ref="F124" si="150">F108-F123</f>
        <v>-379.3</v>
      </c>
      <c r="G124" s="70">
        <f t="shared" ref="B124:AF124" si="151">G108-G123</f>
        <v>-279.2</v>
      </c>
      <c r="H124" s="70">
        <f t="shared" si="151"/>
        <v>-173.3</v>
      </c>
      <c r="I124" s="70">
        <f t="shared" si="151"/>
        <v>-176.4</v>
      </c>
      <c r="J124" s="70">
        <f t="shared" si="151"/>
        <v>-187.4</v>
      </c>
      <c r="K124" s="70">
        <f t="shared" si="151"/>
        <v>-229.7</v>
      </c>
      <c r="L124" s="70">
        <f t="shared" si="151"/>
        <v>-107.5</v>
      </c>
      <c r="M124" s="70">
        <f t="shared" ref="M124:N124" si="152">M108-M123</f>
        <v>-180.8</v>
      </c>
      <c r="N124" s="70">
        <f t="shared" si="152"/>
        <v>-111.19999999999999</v>
      </c>
      <c r="O124" s="70">
        <f t="shared" ref="O124:P124" si="153">O108-O123</f>
        <v>18.099999999999994</v>
      </c>
      <c r="P124" s="70">
        <f t="shared" si="153"/>
        <v>198.7</v>
      </c>
      <c r="Q124" s="70">
        <f t="shared" ref="Q124:R124" si="154">Q108-Q123</f>
        <v>263.5</v>
      </c>
      <c r="R124" s="70">
        <f t="shared" si="154"/>
        <v>268.89999999999998</v>
      </c>
      <c r="S124" s="70">
        <f t="shared" si="151"/>
        <v>271.39999999999998</v>
      </c>
      <c r="T124" s="70">
        <f t="shared" si="151"/>
        <v>15.5</v>
      </c>
      <c r="U124" s="70">
        <f t="shared" si="151"/>
        <v>8</v>
      </c>
      <c r="V124" s="70">
        <f t="shared" si="151"/>
        <v>105</v>
      </c>
      <c r="W124" s="70">
        <f t="shared" si="151"/>
        <v>126.56</v>
      </c>
      <c r="X124" s="70">
        <f t="shared" si="151"/>
        <v>111.89999999999999</v>
      </c>
      <c r="Y124" s="70">
        <f t="shared" si="151"/>
        <v>58.400000000000006</v>
      </c>
      <c r="Z124" s="70">
        <f t="shared" si="151"/>
        <v>86.000000000000014</v>
      </c>
      <c r="AA124" s="70">
        <f t="shared" si="151"/>
        <v>-83</v>
      </c>
      <c r="AB124" s="70">
        <f t="shared" ref="AB124:AD124" si="155">AB108-AB123</f>
        <v>-200.29999999999998</v>
      </c>
      <c r="AC124" s="70">
        <f t="shared" si="155"/>
        <v>-200.29999999999998</v>
      </c>
      <c r="AD124" s="70">
        <f t="shared" si="155"/>
        <v>-138.39999999999998</v>
      </c>
      <c r="AE124" s="70">
        <f t="shared" si="151"/>
        <v>0</v>
      </c>
      <c r="AF124" s="70">
        <f t="shared" si="151"/>
        <v>0</v>
      </c>
      <c r="AG124" s="104"/>
      <c r="AH124" s="46">
        <f t="shared" si="31"/>
        <v>271.39999999999998</v>
      </c>
      <c r="AI124" s="47">
        <f t="shared" si="32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/>
      <c r="AF126" s="117"/>
      <c r="AG126" s="118"/>
      <c r="AH126" s="46">
        <f t="shared" si="31"/>
        <v>50.104999999999997</v>
      </c>
      <c r="AI126" s="47">
        <f t="shared" si="32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/>
      <c r="AF127" s="43"/>
      <c r="AG127" s="120"/>
      <c r="AH127" s="46">
        <f t="shared" si="31"/>
        <v>134.9</v>
      </c>
      <c r="AI127" s="47">
        <f t="shared" si="32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/>
      <c r="AF128" s="43"/>
      <c r="AG128" s="120"/>
      <c r="AH128" s="46">
        <f t="shared" si="31"/>
        <v>132.30000000000001</v>
      </c>
      <c r="AI128" s="47">
        <f t="shared" si="32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/>
      <c r="AF130" s="43"/>
      <c r="AG130" s="120"/>
      <c r="AH130" s="46">
        <f t="shared" si="31"/>
        <v>135.4</v>
      </c>
      <c r="AI130" s="47">
        <f t="shared" si="32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131.19999999999999</v>
      </c>
      <c r="AI131" s="47">
        <f t="shared" si="32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/>
      <c r="AF132" s="43"/>
      <c r="AG132" s="120"/>
      <c r="AH132" s="46">
        <f t="shared" si="31"/>
        <v>131.80000000000001</v>
      </c>
      <c r="AI132" s="47">
        <f t="shared" si="32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/>
      <c r="AF133" s="101"/>
      <c r="AG133" s="124"/>
      <c r="AH133" s="46">
        <f t="shared" si="31"/>
        <v>67.400000000000006</v>
      </c>
      <c r="AI133" s="47">
        <f t="shared" si="32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56">SUM(B26,B32,B45:B46,B82,B84:B85,B87,B89,B137:B142,B177,B183,B189,B198,B200,B212,B219,B222:B223,B230,B232,B234,B238:B240,B242:B244,B249,B255:B256,B258:B260,B161,B166)</f>
        <v>267.54000000000002</v>
      </c>
      <c r="C135" s="114">
        <f t="shared" si="156"/>
        <v>267.54000000000002</v>
      </c>
      <c r="D135" s="114">
        <f t="shared" ref="D135:E135" si="157">SUM(D26,D32,D45:D46,D82,D84:D85,D87,D89,D137:D142,D177,D183,D189,D198,D200,D212,D219,D222:D223,D230,D232,D234,D238:D240,D242:D244,D249,D255:D256,D258:D260,D161,D166)</f>
        <v>306.44</v>
      </c>
      <c r="E135" s="114">
        <f t="shared" si="157"/>
        <v>306.44</v>
      </c>
      <c r="F135" s="114">
        <f t="shared" ref="F135" si="158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59">SUM(G26,G32,G45:G46,G82,G84:G85,G87,G89,G137:G142,G177,G183,G189,G198,G200,G212,G219,G222:G223,G230,G232,G234,G238:G240,G242:G244,G249,G255:G256,G258:G260,G161,G166)</f>
        <v>145.73999999999998</v>
      </c>
      <c r="H135" s="114">
        <f t="shared" si="159"/>
        <v>152.73999999999998</v>
      </c>
      <c r="I135" s="114">
        <f t="shared" si="159"/>
        <v>149.54</v>
      </c>
      <c r="J135" s="114">
        <f t="shared" si="159"/>
        <v>268.24</v>
      </c>
      <c r="K135" s="114">
        <f t="shared" si="159"/>
        <v>268.24</v>
      </c>
      <c r="L135" s="114">
        <f t="shared" si="159"/>
        <v>268.24</v>
      </c>
      <c r="M135" s="114">
        <f t="shared" ref="M135:N135" si="160">SUM(M26,M32,M45:M46,M82,M84:M85,M87,M89,M137:M142,M177,M183,M189,M198,M200,M212,M219,M222:M223,M230,M232,M234,M238:M240,M242:M244,M249,M255:M256,M258:M260,M161,M166)</f>
        <v>274.20999999999998</v>
      </c>
      <c r="N135" s="114">
        <f t="shared" si="160"/>
        <v>288.03999999999996</v>
      </c>
      <c r="O135" s="114">
        <f t="shared" ref="O135:P135" si="161">SUM(O26,O32,O45:O46,O82,O84:O85,O87,O89,O137:O142,O177,O183,O189,O198,O200,O212,O219,O222:O223,O230,O232,O234,O238:O240,O242:O244,O249,O255:O256,O258:O260,O161,O166)</f>
        <v>283.04000000000002</v>
      </c>
      <c r="P135" s="114">
        <f t="shared" si="161"/>
        <v>306.73999999999995</v>
      </c>
      <c r="Q135" s="114">
        <f t="shared" ref="Q135:R135" si="162">SUM(Q26,Q32,Q45:Q46,Q82,Q84:Q85,Q87,Q89,Q137:Q142,Q177,Q183,Q189,Q198,Q200,Q212,Q219,Q222:Q223,Q230,Q232,Q234,Q238:Q240,Q242:Q244,Q249,Q255:Q256,Q258:Q260,Q161,Q166)</f>
        <v>293.54000000000002</v>
      </c>
      <c r="R135" s="114">
        <f t="shared" si="162"/>
        <v>287.83999999999997</v>
      </c>
      <c r="S135" s="114">
        <f t="shared" ref="Q135:X135" si="163">SUM(S26,S32,S45:S46,S82,S84:S85,S87,S89,S137:S142,S177,S183,S189,S198,S200,S212,S219,S222:S223,S230,S232,S234,S238:S240,S242:S244,S249,S255:S256,S258:S260,S161,S166)</f>
        <v>279.64</v>
      </c>
      <c r="T135" s="114">
        <f t="shared" si="163"/>
        <v>275.33999999999997</v>
      </c>
      <c r="U135" s="114">
        <f t="shared" si="163"/>
        <v>282.73999999999995</v>
      </c>
      <c r="V135" s="114">
        <f t="shared" si="163"/>
        <v>273.44</v>
      </c>
      <c r="W135" s="114">
        <f t="shared" si="163"/>
        <v>251.73999999999995</v>
      </c>
      <c r="X135" s="114">
        <f t="shared" si="163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64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65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65"/>
        <v>347.73999999999995</v>
      </c>
      <c r="AD135" s="114">
        <f t="shared" si="165"/>
        <v>272.24</v>
      </c>
      <c r="AE135" s="114">
        <f t="shared" si="164"/>
        <v>0.94</v>
      </c>
      <c r="AF135" s="114">
        <f t="shared" si="164"/>
        <v>0.94</v>
      </c>
      <c r="AG135" s="127"/>
      <c r="AH135" s="46">
        <f t="shared" si="31"/>
        <v>359.64</v>
      </c>
      <c r="AI135" s="47">
        <f t="shared" si="32"/>
        <v>0.94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/>
      <c r="AF137" s="133"/>
      <c r="AG137" s="134">
        <v>75</v>
      </c>
      <c r="AH137" s="46">
        <f t="shared" si="31"/>
        <v>60.8</v>
      </c>
      <c r="AI137" s="47">
        <f t="shared" si="32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/>
      <c r="AF138" s="136"/>
      <c r="AG138" s="134">
        <v>240</v>
      </c>
      <c r="AH138" s="46">
        <f t="shared" si="31"/>
        <v>38.4</v>
      </c>
      <c r="AI138" s="47">
        <f t="shared" si="32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/>
      <c r="AF139" s="136"/>
      <c r="AG139" s="134">
        <v>240</v>
      </c>
      <c r="AH139" s="46">
        <f>MAX(B139:AF139)</f>
        <v>-42.7</v>
      </c>
      <c r="AI139" s="47">
        <f>MIN(B139:AF139)</f>
        <v>-75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/>
      <c r="AF140" s="137"/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/>
      <c r="AF141" s="136"/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/>
      <c r="AF142" s="137"/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/>
      <c r="AF143" s="137"/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/>
      <c r="AF144" s="137"/>
      <c r="AG144" s="138"/>
      <c r="AH144" s="46">
        <f>MAX(B144:AF144)</f>
        <v>22.5</v>
      </c>
      <c r="AI144" s="47">
        <f>MIN(B144:AF144)</f>
        <v>-56.8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/>
      <c r="AF145" s="137"/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/>
      <c r="AF146" s="137"/>
      <c r="AG146" s="138"/>
      <c r="AH146" s="46">
        <f t="shared" ref="AH146:AH158" si="166">MAX(B146:AF146)</f>
        <v>-57.2</v>
      </c>
      <c r="AI146" s="47">
        <f t="shared" ref="AI146:AI158" si="167">MIN(B146:AF146)</f>
        <v>-506.2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/>
      <c r="AF147" s="137"/>
      <c r="AG147" s="138"/>
      <c r="AH147" s="46">
        <f t="shared" si="166"/>
        <v>106</v>
      </c>
      <c r="AI147" s="47">
        <f t="shared" si="167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66"/>
        <v>0</v>
      </c>
      <c r="AI148" s="47">
        <f t="shared" si="167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/>
      <c r="AF149" s="122"/>
      <c r="AG149" s="134"/>
      <c r="AH149" s="46">
        <f t="shared" si="166"/>
        <v>259</v>
      </c>
      <c r="AI149" s="47">
        <f t="shared" si="167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/>
      <c r="AF150" s="122"/>
      <c r="AG150" s="134"/>
      <c r="AH150" s="46">
        <f t="shared" si="166"/>
        <v>31.2</v>
      </c>
      <c r="AI150" s="47">
        <f t="shared" si="167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/>
      <c r="AF151" s="122"/>
      <c r="AG151" s="134"/>
      <c r="AH151" s="46">
        <f t="shared" si="166"/>
        <v>22.7</v>
      </c>
      <c r="AI151" s="47">
        <f t="shared" si="167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/>
      <c r="AF152" s="143"/>
      <c r="AG152" s="51"/>
      <c r="AH152" s="46">
        <f t="shared" si="166"/>
        <v>1986.59</v>
      </c>
      <c r="AI152" s="47">
        <f t="shared" si="167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66"/>
        <v>1985.1</v>
      </c>
      <c r="AI153" s="47">
        <f t="shared" si="167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6"/>
        <v>523.92999999999995</v>
      </c>
      <c r="AI154" s="47">
        <f t="shared" si="167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/>
      <c r="AF155" s="149"/>
      <c r="AG155" s="146"/>
      <c r="AH155" s="46">
        <f t="shared" si="166"/>
        <v>624.88</v>
      </c>
      <c r="AI155" s="47">
        <f t="shared" si="167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/>
      <c r="AF156" s="149"/>
      <c r="AG156" s="146"/>
      <c r="AH156" s="46">
        <f t="shared" si="166"/>
        <v>337.14</v>
      </c>
      <c r="AI156" s="47">
        <f t="shared" si="167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66"/>
        <v>883.4</v>
      </c>
      <c r="AI157" s="47">
        <f t="shared" si="167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6"/>
        <v>0</v>
      </c>
      <c r="AI158" s="47">
        <f t="shared" si="167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8">B161</f>
        <v>0.3</v>
      </c>
      <c r="D161" s="159">
        <f t="shared" si="168"/>
        <v>0.3</v>
      </c>
      <c r="E161" s="159">
        <f t="shared" si="168"/>
        <v>0.3</v>
      </c>
      <c r="F161" s="159">
        <f t="shared" si="168"/>
        <v>0.3</v>
      </c>
      <c r="G161" s="159">
        <f t="shared" si="168"/>
        <v>0.3</v>
      </c>
      <c r="H161" s="159">
        <f t="shared" si="168"/>
        <v>0.3</v>
      </c>
      <c r="I161" s="159">
        <f t="shared" si="168"/>
        <v>0.3</v>
      </c>
      <c r="J161" s="159">
        <f t="shared" si="168"/>
        <v>0.3</v>
      </c>
      <c r="K161" s="159">
        <f t="shared" si="168"/>
        <v>0.3</v>
      </c>
      <c r="L161" s="159">
        <f t="shared" si="168"/>
        <v>0.3</v>
      </c>
      <c r="M161" s="159">
        <f t="shared" si="168"/>
        <v>0.3</v>
      </c>
      <c r="N161" s="159">
        <f t="shared" si="168"/>
        <v>0.3</v>
      </c>
      <c r="O161" s="159">
        <f t="shared" si="168"/>
        <v>0.3</v>
      </c>
      <c r="P161" s="159">
        <f t="shared" si="168"/>
        <v>0.3</v>
      </c>
      <c r="Q161" s="159">
        <f t="shared" si="168"/>
        <v>0.3</v>
      </c>
      <c r="R161" s="159">
        <f t="shared" si="168"/>
        <v>0.3</v>
      </c>
      <c r="S161" s="159">
        <f t="shared" ref="S161:AF166" si="169">R161</f>
        <v>0.3</v>
      </c>
      <c r="T161" s="159">
        <f t="shared" si="169"/>
        <v>0.3</v>
      </c>
      <c r="U161" s="159">
        <f t="shared" si="169"/>
        <v>0.3</v>
      </c>
      <c r="V161" s="159">
        <f t="shared" si="169"/>
        <v>0.3</v>
      </c>
      <c r="W161" s="159">
        <f t="shared" si="169"/>
        <v>0.3</v>
      </c>
      <c r="X161" s="159">
        <f t="shared" si="169"/>
        <v>0.3</v>
      </c>
      <c r="Y161" s="159">
        <f t="shared" si="169"/>
        <v>0.3</v>
      </c>
      <c r="Z161" s="159">
        <f t="shared" si="169"/>
        <v>0.3</v>
      </c>
      <c r="AA161" s="159">
        <f t="shared" si="169"/>
        <v>0.3</v>
      </c>
      <c r="AB161" s="159">
        <f t="shared" si="169"/>
        <v>0.3</v>
      </c>
      <c r="AC161" s="159">
        <f t="shared" ref="AC161:AC166" si="170">AB161</f>
        <v>0.3</v>
      </c>
      <c r="AD161" s="159">
        <f t="shared" ref="AD161:AD166" si="171">AC161</f>
        <v>0.3</v>
      </c>
      <c r="AE161" s="159">
        <f t="shared" si="169"/>
        <v>0.3</v>
      </c>
      <c r="AF161" s="159">
        <f t="shared" si="16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8"/>
        <v>0.4</v>
      </c>
      <c r="D162" s="161">
        <f t="shared" si="168"/>
        <v>0.4</v>
      </c>
      <c r="E162" s="161">
        <f t="shared" si="168"/>
        <v>0.4</v>
      </c>
      <c r="F162" s="161">
        <f t="shared" si="168"/>
        <v>0.4</v>
      </c>
      <c r="G162" s="161">
        <f t="shared" si="168"/>
        <v>0.4</v>
      </c>
      <c r="H162" s="161">
        <f t="shared" si="168"/>
        <v>0.4</v>
      </c>
      <c r="I162" s="161">
        <f t="shared" si="168"/>
        <v>0.4</v>
      </c>
      <c r="J162" s="161">
        <f t="shared" si="168"/>
        <v>0.4</v>
      </c>
      <c r="K162" s="161">
        <f t="shared" si="168"/>
        <v>0.4</v>
      </c>
      <c r="L162" s="161">
        <f t="shared" si="168"/>
        <v>0.4</v>
      </c>
      <c r="M162" s="161">
        <f t="shared" si="168"/>
        <v>0.4</v>
      </c>
      <c r="N162" s="161">
        <f t="shared" si="168"/>
        <v>0.4</v>
      </c>
      <c r="O162" s="161">
        <f t="shared" si="168"/>
        <v>0.4</v>
      </c>
      <c r="P162" s="161">
        <f t="shared" si="168"/>
        <v>0.4</v>
      </c>
      <c r="Q162" s="161">
        <f t="shared" si="168"/>
        <v>0.4</v>
      </c>
      <c r="R162" s="161">
        <f t="shared" si="168"/>
        <v>0.4</v>
      </c>
      <c r="S162" s="161">
        <f t="shared" si="169"/>
        <v>0.4</v>
      </c>
      <c r="T162" s="161">
        <f t="shared" si="169"/>
        <v>0.4</v>
      </c>
      <c r="U162" s="161">
        <f t="shared" si="169"/>
        <v>0.4</v>
      </c>
      <c r="V162" s="161">
        <f t="shared" si="169"/>
        <v>0.4</v>
      </c>
      <c r="W162" s="161">
        <f t="shared" si="169"/>
        <v>0.4</v>
      </c>
      <c r="X162" s="161">
        <f t="shared" si="169"/>
        <v>0.4</v>
      </c>
      <c r="Y162" s="161">
        <f t="shared" si="169"/>
        <v>0.4</v>
      </c>
      <c r="Z162" s="161">
        <f t="shared" si="169"/>
        <v>0.4</v>
      </c>
      <c r="AA162" s="161">
        <f t="shared" si="169"/>
        <v>0.4</v>
      </c>
      <c r="AB162" s="161">
        <f t="shared" si="169"/>
        <v>0.4</v>
      </c>
      <c r="AC162" s="161">
        <f t="shared" si="170"/>
        <v>0.4</v>
      </c>
      <c r="AD162" s="161">
        <f t="shared" si="171"/>
        <v>0.4</v>
      </c>
      <c r="AE162" s="161">
        <f t="shared" si="169"/>
        <v>0.4</v>
      </c>
      <c r="AF162" s="161">
        <f t="shared" si="16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8"/>
        <v>1.5</v>
      </c>
      <c r="D163" s="161">
        <f t="shared" si="168"/>
        <v>1.5</v>
      </c>
      <c r="E163" s="161">
        <f t="shared" si="168"/>
        <v>1.5</v>
      </c>
      <c r="F163" s="161">
        <f t="shared" si="168"/>
        <v>1.5</v>
      </c>
      <c r="G163" s="161">
        <f t="shared" si="168"/>
        <v>1.5</v>
      </c>
      <c r="H163" s="161">
        <f t="shared" si="168"/>
        <v>1.5</v>
      </c>
      <c r="I163" s="161">
        <f t="shared" si="168"/>
        <v>1.5</v>
      </c>
      <c r="J163" s="161">
        <f t="shared" si="168"/>
        <v>1.5</v>
      </c>
      <c r="K163" s="161">
        <f t="shared" si="168"/>
        <v>1.5</v>
      </c>
      <c r="L163" s="161">
        <f t="shared" si="168"/>
        <v>1.5</v>
      </c>
      <c r="M163" s="161">
        <f t="shared" si="168"/>
        <v>1.5</v>
      </c>
      <c r="N163" s="161">
        <f t="shared" si="168"/>
        <v>1.5</v>
      </c>
      <c r="O163" s="161">
        <f t="shared" si="168"/>
        <v>1.5</v>
      </c>
      <c r="P163" s="161">
        <f t="shared" si="168"/>
        <v>1.5</v>
      </c>
      <c r="Q163" s="161">
        <f t="shared" si="168"/>
        <v>1.5</v>
      </c>
      <c r="R163" s="161">
        <f t="shared" si="168"/>
        <v>1.5</v>
      </c>
      <c r="S163" s="161">
        <f t="shared" si="169"/>
        <v>1.5</v>
      </c>
      <c r="T163" s="161">
        <f t="shared" si="169"/>
        <v>1.5</v>
      </c>
      <c r="U163" s="161">
        <f t="shared" si="169"/>
        <v>1.5</v>
      </c>
      <c r="V163" s="161">
        <f t="shared" si="169"/>
        <v>1.5</v>
      </c>
      <c r="W163" s="161">
        <f t="shared" si="169"/>
        <v>1.5</v>
      </c>
      <c r="X163" s="161">
        <f t="shared" si="169"/>
        <v>1.5</v>
      </c>
      <c r="Y163" s="161">
        <f t="shared" si="169"/>
        <v>1.5</v>
      </c>
      <c r="Z163" s="161">
        <f t="shared" si="169"/>
        <v>1.5</v>
      </c>
      <c r="AA163" s="161">
        <f t="shared" si="169"/>
        <v>1.5</v>
      </c>
      <c r="AB163" s="161">
        <f t="shared" si="169"/>
        <v>1.5</v>
      </c>
      <c r="AC163" s="161">
        <f t="shared" si="170"/>
        <v>1.5</v>
      </c>
      <c r="AD163" s="161">
        <f t="shared" si="171"/>
        <v>1.5</v>
      </c>
      <c r="AE163" s="161">
        <f t="shared" si="169"/>
        <v>1.5</v>
      </c>
      <c r="AF163" s="161">
        <f t="shared" si="16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8"/>
        <v>0.3</v>
      </c>
      <c r="D164" s="161">
        <f t="shared" si="168"/>
        <v>0.3</v>
      </c>
      <c r="E164" s="161">
        <f t="shared" si="168"/>
        <v>0.3</v>
      </c>
      <c r="F164" s="161">
        <f t="shared" si="168"/>
        <v>0.3</v>
      </c>
      <c r="G164" s="161">
        <f t="shared" si="168"/>
        <v>0.3</v>
      </c>
      <c r="H164" s="161">
        <f t="shared" si="168"/>
        <v>0.3</v>
      </c>
      <c r="I164" s="161">
        <f t="shared" si="168"/>
        <v>0.3</v>
      </c>
      <c r="J164" s="161">
        <f t="shared" si="168"/>
        <v>0.3</v>
      </c>
      <c r="K164" s="161">
        <f t="shared" si="168"/>
        <v>0.3</v>
      </c>
      <c r="L164" s="161">
        <f t="shared" si="168"/>
        <v>0.3</v>
      </c>
      <c r="M164" s="161">
        <f t="shared" si="168"/>
        <v>0.3</v>
      </c>
      <c r="N164" s="161">
        <f t="shared" si="168"/>
        <v>0.3</v>
      </c>
      <c r="O164" s="161">
        <f t="shared" si="168"/>
        <v>0.3</v>
      </c>
      <c r="P164" s="161">
        <f t="shared" si="168"/>
        <v>0.3</v>
      </c>
      <c r="Q164" s="161">
        <f t="shared" si="168"/>
        <v>0.3</v>
      </c>
      <c r="R164" s="161">
        <f t="shared" si="168"/>
        <v>0.3</v>
      </c>
      <c r="S164" s="161">
        <f t="shared" si="169"/>
        <v>0.3</v>
      </c>
      <c r="T164" s="161">
        <f t="shared" si="169"/>
        <v>0.3</v>
      </c>
      <c r="U164" s="161">
        <f t="shared" si="169"/>
        <v>0.3</v>
      </c>
      <c r="V164" s="161">
        <f t="shared" si="169"/>
        <v>0.3</v>
      </c>
      <c r="W164" s="161">
        <f t="shared" si="169"/>
        <v>0.3</v>
      </c>
      <c r="X164" s="161">
        <f t="shared" si="169"/>
        <v>0.3</v>
      </c>
      <c r="Y164" s="161">
        <f t="shared" si="169"/>
        <v>0.3</v>
      </c>
      <c r="Z164" s="161">
        <f t="shared" si="169"/>
        <v>0.3</v>
      </c>
      <c r="AA164" s="161">
        <f t="shared" si="169"/>
        <v>0.3</v>
      </c>
      <c r="AB164" s="161">
        <f t="shared" si="169"/>
        <v>0.3</v>
      </c>
      <c r="AC164" s="161">
        <f t="shared" si="170"/>
        <v>0.3</v>
      </c>
      <c r="AD164" s="161">
        <f t="shared" si="171"/>
        <v>0.3</v>
      </c>
      <c r="AE164" s="161">
        <f t="shared" si="169"/>
        <v>0.3</v>
      </c>
      <c r="AF164" s="161">
        <f t="shared" si="16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8"/>
        <v>0.4</v>
      </c>
      <c r="D165" s="161">
        <f t="shared" si="168"/>
        <v>0.4</v>
      </c>
      <c r="E165" s="161">
        <f t="shared" si="168"/>
        <v>0.4</v>
      </c>
      <c r="F165" s="161">
        <f t="shared" si="168"/>
        <v>0.4</v>
      </c>
      <c r="G165" s="161">
        <f t="shared" si="168"/>
        <v>0.4</v>
      </c>
      <c r="H165" s="161">
        <f t="shared" si="168"/>
        <v>0.4</v>
      </c>
      <c r="I165" s="161">
        <f t="shared" si="168"/>
        <v>0.4</v>
      </c>
      <c r="J165" s="161">
        <f t="shared" si="168"/>
        <v>0.4</v>
      </c>
      <c r="K165" s="161">
        <f t="shared" si="168"/>
        <v>0.4</v>
      </c>
      <c r="L165" s="161">
        <f t="shared" si="168"/>
        <v>0.4</v>
      </c>
      <c r="M165" s="161">
        <f t="shared" si="168"/>
        <v>0.4</v>
      </c>
      <c r="N165" s="161">
        <f t="shared" si="168"/>
        <v>0.4</v>
      </c>
      <c r="O165" s="161">
        <f t="shared" si="168"/>
        <v>0.4</v>
      </c>
      <c r="P165" s="161">
        <f t="shared" si="168"/>
        <v>0.4</v>
      </c>
      <c r="Q165" s="161">
        <f t="shared" si="168"/>
        <v>0.4</v>
      </c>
      <c r="R165" s="161">
        <f t="shared" si="168"/>
        <v>0.4</v>
      </c>
      <c r="S165" s="161">
        <f t="shared" si="169"/>
        <v>0.4</v>
      </c>
      <c r="T165" s="161">
        <f t="shared" si="169"/>
        <v>0.4</v>
      </c>
      <c r="U165" s="161">
        <f t="shared" si="169"/>
        <v>0.4</v>
      </c>
      <c r="V165" s="161">
        <f t="shared" si="169"/>
        <v>0.4</v>
      </c>
      <c r="W165" s="161">
        <f t="shared" si="169"/>
        <v>0.4</v>
      </c>
      <c r="X165" s="161">
        <f t="shared" si="169"/>
        <v>0.4</v>
      </c>
      <c r="Y165" s="161">
        <f t="shared" si="169"/>
        <v>0.4</v>
      </c>
      <c r="Z165" s="161">
        <f t="shared" si="169"/>
        <v>0.4</v>
      </c>
      <c r="AA165" s="161">
        <f t="shared" si="169"/>
        <v>0.4</v>
      </c>
      <c r="AB165" s="161">
        <f t="shared" si="169"/>
        <v>0.4</v>
      </c>
      <c r="AC165" s="161">
        <f t="shared" si="170"/>
        <v>0.4</v>
      </c>
      <c r="AD165" s="161">
        <f t="shared" si="171"/>
        <v>0.4</v>
      </c>
      <c r="AE165" s="161">
        <f t="shared" si="169"/>
        <v>0.4</v>
      </c>
      <c r="AF165" s="161">
        <f t="shared" si="16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8"/>
        <v>0.64</v>
      </c>
      <c r="D166" s="164">
        <f t="shared" si="168"/>
        <v>0.64</v>
      </c>
      <c r="E166" s="164">
        <f t="shared" si="168"/>
        <v>0.64</v>
      </c>
      <c r="F166" s="164">
        <f t="shared" si="168"/>
        <v>0.64</v>
      </c>
      <c r="G166" s="164">
        <f t="shared" si="168"/>
        <v>0.64</v>
      </c>
      <c r="H166" s="164">
        <f t="shared" si="168"/>
        <v>0.64</v>
      </c>
      <c r="I166" s="164">
        <f t="shared" si="168"/>
        <v>0.64</v>
      </c>
      <c r="J166" s="164">
        <f t="shared" si="168"/>
        <v>0.64</v>
      </c>
      <c r="K166" s="164">
        <f t="shared" si="168"/>
        <v>0.64</v>
      </c>
      <c r="L166" s="164">
        <f t="shared" si="168"/>
        <v>0.64</v>
      </c>
      <c r="M166" s="164">
        <f t="shared" si="168"/>
        <v>0.64</v>
      </c>
      <c r="N166" s="164">
        <f t="shared" si="168"/>
        <v>0.64</v>
      </c>
      <c r="O166" s="164">
        <f t="shared" si="168"/>
        <v>0.64</v>
      </c>
      <c r="P166" s="164">
        <f t="shared" si="168"/>
        <v>0.64</v>
      </c>
      <c r="Q166" s="164">
        <f t="shared" si="168"/>
        <v>0.64</v>
      </c>
      <c r="R166" s="164">
        <f t="shared" si="168"/>
        <v>0.64</v>
      </c>
      <c r="S166" s="164">
        <f t="shared" si="169"/>
        <v>0.64</v>
      </c>
      <c r="T166" s="164">
        <f t="shared" si="169"/>
        <v>0.64</v>
      </c>
      <c r="U166" s="164">
        <f t="shared" si="169"/>
        <v>0.64</v>
      </c>
      <c r="V166" s="164">
        <f t="shared" si="169"/>
        <v>0.64</v>
      </c>
      <c r="W166" s="164">
        <f t="shared" si="169"/>
        <v>0.64</v>
      </c>
      <c r="X166" s="164">
        <f t="shared" si="169"/>
        <v>0.64</v>
      </c>
      <c r="Y166" s="164">
        <f t="shared" si="169"/>
        <v>0.64</v>
      </c>
      <c r="Z166" s="164">
        <f t="shared" si="169"/>
        <v>0.64</v>
      </c>
      <c r="AA166" s="164">
        <f t="shared" si="169"/>
        <v>0.64</v>
      </c>
      <c r="AB166" s="164">
        <f t="shared" si="169"/>
        <v>0.64</v>
      </c>
      <c r="AC166" s="164">
        <f t="shared" si="170"/>
        <v>0.64</v>
      </c>
      <c r="AD166" s="164">
        <f t="shared" si="171"/>
        <v>0.64</v>
      </c>
      <c r="AE166" s="164">
        <f t="shared" si="169"/>
        <v>0.64</v>
      </c>
      <c r="AF166" s="164">
        <f t="shared" si="16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2">SUM(C161:C166)</f>
        <v>3.54</v>
      </c>
      <c r="D167" s="167">
        <f t="shared" si="172"/>
        <v>3.54</v>
      </c>
      <c r="E167" s="167">
        <f t="shared" si="172"/>
        <v>3.54</v>
      </c>
      <c r="F167" s="167">
        <f t="shared" si="172"/>
        <v>3.54</v>
      </c>
      <c r="G167" s="167">
        <f t="shared" si="172"/>
        <v>3.54</v>
      </c>
      <c r="H167" s="167">
        <f t="shared" si="172"/>
        <v>3.54</v>
      </c>
      <c r="I167" s="167">
        <f t="shared" si="172"/>
        <v>3.54</v>
      </c>
      <c r="J167" s="167">
        <f t="shared" si="172"/>
        <v>3.54</v>
      </c>
      <c r="K167" s="167">
        <f t="shared" si="172"/>
        <v>3.54</v>
      </c>
      <c r="L167" s="167">
        <f t="shared" si="172"/>
        <v>3.54</v>
      </c>
      <c r="M167" s="167">
        <f t="shared" ref="M167:N167" si="173">SUM(M161:M166)</f>
        <v>3.54</v>
      </c>
      <c r="N167" s="167">
        <f t="shared" si="173"/>
        <v>3.54</v>
      </c>
      <c r="O167" s="167">
        <f t="shared" ref="O167:P167" si="174">SUM(O161:O166)</f>
        <v>3.54</v>
      </c>
      <c r="P167" s="167">
        <f t="shared" si="174"/>
        <v>3.54</v>
      </c>
      <c r="Q167" s="167">
        <f t="shared" ref="Q167:R167" si="175">SUM(Q161:Q166)</f>
        <v>3.54</v>
      </c>
      <c r="R167" s="167">
        <f t="shared" si="175"/>
        <v>3.54</v>
      </c>
      <c r="S167" s="167">
        <f t="shared" si="172"/>
        <v>3.54</v>
      </c>
      <c r="T167" s="167">
        <f t="shared" si="172"/>
        <v>3.54</v>
      </c>
      <c r="U167" s="167">
        <f t="shared" si="172"/>
        <v>3.54</v>
      </c>
      <c r="V167" s="167">
        <f t="shared" si="172"/>
        <v>3.54</v>
      </c>
      <c r="W167" s="167">
        <f t="shared" si="172"/>
        <v>3.54</v>
      </c>
      <c r="X167" s="167">
        <f t="shared" si="172"/>
        <v>3.54</v>
      </c>
      <c r="Y167" s="167">
        <f t="shared" si="172"/>
        <v>3.54</v>
      </c>
      <c r="Z167" s="167">
        <f t="shared" si="172"/>
        <v>3.54</v>
      </c>
      <c r="AA167" s="167">
        <f t="shared" si="172"/>
        <v>3.54</v>
      </c>
      <c r="AB167" s="167">
        <f t="shared" ref="AB167:AD167" si="176">SUM(AB161:AB166)</f>
        <v>3.54</v>
      </c>
      <c r="AC167" s="167">
        <f t="shared" si="176"/>
        <v>3.54</v>
      </c>
      <c r="AD167" s="167">
        <f t="shared" si="176"/>
        <v>3.54</v>
      </c>
      <c r="AE167" s="167">
        <f t="shared" si="172"/>
        <v>3.54</v>
      </c>
      <c r="AF167" s="167">
        <f t="shared" si="172"/>
        <v>3.54</v>
      </c>
      <c r="AG167" s="168">
        <f t="shared" si="17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ref="M169:P232" si="178">L169</f>
        <v>0</v>
      </c>
      <c r="N169" s="159">
        <f t="shared" si="178"/>
        <v>0</v>
      </c>
      <c r="O169" s="159">
        <f t="shared" si="178"/>
        <v>0</v>
      </c>
      <c r="P169" s="159">
        <f t="shared" si="178"/>
        <v>0</v>
      </c>
      <c r="Q169" s="159">
        <f t="shared" ref="Q169:R232" si="179">P169</f>
        <v>0</v>
      </c>
      <c r="R169" s="159">
        <f t="shared" si="179"/>
        <v>0</v>
      </c>
      <c r="S169" s="159">
        <f t="shared" ref="S169:AF184" si="180">R169</f>
        <v>0</v>
      </c>
      <c r="T169" s="159">
        <f t="shared" si="180"/>
        <v>0</v>
      </c>
      <c r="U169" s="159">
        <f t="shared" si="180"/>
        <v>0</v>
      </c>
      <c r="V169" s="159">
        <f t="shared" si="180"/>
        <v>0</v>
      </c>
      <c r="W169" s="159">
        <f t="shared" si="180"/>
        <v>0</v>
      </c>
      <c r="X169" s="159">
        <f t="shared" si="180"/>
        <v>0</v>
      </c>
      <c r="Y169" s="159">
        <f t="shared" si="180"/>
        <v>0</v>
      </c>
      <c r="Z169" s="159">
        <f t="shared" si="180"/>
        <v>0</v>
      </c>
      <c r="AA169" s="159">
        <f t="shared" si="180"/>
        <v>0</v>
      </c>
      <c r="AB169" s="159">
        <f t="shared" si="180"/>
        <v>0</v>
      </c>
      <c r="AC169" s="159">
        <f t="shared" ref="AC169:AC210" si="181">AB169</f>
        <v>0</v>
      </c>
      <c r="AD169" s="159">
        <f t="shared" ref="AD169:AD210" si="182">AC169</f>
        <v>0</v>
      </c>
      <c r="AE169" s="159">
        <f t="shared" si="180"/>
        <v>0</v>
      </c>
      <c r="AF169" s="172">
        <f t="shared" si="18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8"/>
        <v>0</v>
      </c>
      <c r="N170" s="161">
        <f t="shared" si="178"/>
        <v>0</v>
      </c>
      <c r="O170" s="161">
        <f t="shared" si="178"/>
        <v>0</v>
      </c>
      <c r="P170" s="161">
        <f t="shared" si="178"/>
        <v>0</v>
      </c>
      <c r="Q170" s="161">
        <f t="shared" si="179"/>
        <v>0</v>
      </c>
      <c r="R170" s="161">
        <f t="shared" si="179"/>
        <v>0</v>
      </c>
      <c r="S170" s="161">
        <f t="shared" si="180"/>
        <v>0</v>
      </c>
      <c r="T170" s="161">
        <f t="shared" si="180"/>
        <v>0</v>
      </c>
      <c r="U170" s="161">
        <f t="shared" si="180"/>
        <v>0</v>
      </c>
      <c r="V170" s="161">
        <f t="shared" si="180"/>
        <v>0</v>
      </c>
      <c r="W170" s="161">
        <f t="shared" si="180"/>
        <v>0</v>
      </c>
      <c r="X170" s="161">
        <f t="shared" si="180"/>
        <v>0</v>
      </c>
      <c r="Y170" s="161">
        <f t="shared" si="180"/>
        <v>0</v>
      </c>
      <c r="Z170" s="161">
        <f t="shared" si="180"/>
        <v>0</v>
      </c>
      <c r="AA170" s="161">
        <f t="shared" si="180"/>
        <v>0</v>
      </c>
      <c r="AB170" s="161">
        <f t="shared" si="180"/>
        <v>0</v>
      </c>
      <c r="AC170" s="161">
        <f t="shared" si="181"/>
        <v>0</v>
      </c>
      <c r="AD170" s="161">
        <f t="shared" si="182"/>
        <v>0</v>
      </c>
      <c r="AE170" s="161">
        <f t="shared" si="180"/>
        <v>0</v>
      </c>
      <c r="AF170" s="174">
        <f t="shared" si="18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8"/>
        <v>0</v>
      </c>
      <c r="N171" s="161">
        <f t="shared" si="178"/>
        <v>0</v>
      </c>
      <c r="O171" s="161">
        <f t="shared" si="178"/>
        <v>0</v>
      </c>
      <c r="P171" s="161">
        <f t="shared" si="178"/>
        <v>0</v>
      </c>
      <c r="Q171" s="161">
        <f t="shared" si="179"/>
        <v>0</v>
      </c>
      <c r="R171" s="161">
        <f t="shared" si="179"/>
        <v>0</v>
      </c>
      <c r="S171" s="161">
        <f t="shared" si="180"/>
        <v>0</v>
      </c>
      <c r="T171" s="161">
        <f t="shared" si="180"/>
        <v>0</v>
      </c>
      <c r="U171" s="161">
        <f t="shared" si="180"/>
        <v>0</v>
      </c>
      <c r="V171" s="161">
        <f t="shared" si="180"/>
        <v>0</v>
      </c>
      <c r="W171" s="161">
        <f t="shared" si="180"/>
        <v>0</v>
      </c>
      <c r="X171" s="161">
        <f t="shared" si="180"/>
        <v>0</v>
      </c>
      <c r="Y171" s="161">
        <f t="shared" si="180"/>
        <v>0</v>
      </c>
      <c r="Z171" s="161">
        <f t="shared" si="180"/>
        <v>0</v>
      </c>
      <c r="AA171" s="161">
        <f t="shared" si="180"/>
        <v>0</v>
      </c>
      <c r="AB171" s="161">
        <f t="shared" si="180"/>
        <v>0</v>
      </c>
      <c r="AC171" s="161">
        <f t="shared" si="181"/>
        <v>0</v>
      </c>
      <c r="AD171" s="161">
        <f t="shared" si="182"/>
        <v>0</v>
      </c>
      <c r="AE171" s="161">
        <f t="shared" si="180"/>
        <v>0</v>
      </c>
      <c r="AF171" s="174">
        <f t="shared" si="18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8"/>
        <v>0</v>
      </c>
      <c r="N172" s="161">
        <f t="shared" si="178"/>
        <v>0</v>
      </c>
      <c r="O172" s="161">
        <f t="shared" si="178"/>
        <v>0</v>
      </c>
      <c r="P172" s="161">
        <f t="shared" si="178"/>
        <v>0</v>
      </c>
      <c r="Q172" s="161">
        <f t="shared" si="179"/>
        <v>0</v>
      </c>
      <c r="R172" s="161">
        <f t="shared" si="179"/>
        <v>0</v>
      </c>
      <c r="S172" s="161">
        <f t="shared" si="180"/>
        <v>0</v>
      </c>
      <c r="T172" s="161">
        <f t="shared" si="180"/>
        <v>0</v>
      </c>
      <c r="U172" s="161">
        <f t="shared" si="180"/>
        <v>0</v>
      </c>
      <c r="V172" s="161">
        <f t="shared" si="180"/>
        <v>0</v>
      </c>
      <c r="W172" s="161">
        <f t="shared" si="180"/>
        <v>0</v>
      </c>
      <c r="X172" s="161">
        <f t="shared" si="180"/>
        <v>0</v>
      </c>
      <c r="Y172" s="161">
        <f t="shared" si="180"/>
        <v>0</v>
      </c>
      <c r="Z172" s="161">
        <f t="shared" si="180"/>
        <v>0</v>
      </c>
      <c r="AA172" s="161">
        <f t="shared" si="180"/>
        <v>0</v>
      </c>
      <c r="AB172" s="161">
        <f t="shared" si="180"/>
        <v>0</v>
      </c>
      <c r="AC172" s="161">
        <f t="shared" si="181"/>
        <v>0</v>
      </c>
      <c r="AD172" s="161">
        <f t="shared" si="182"/>
        <v>0</v>
      </c>
      <c r="AE172" s="161">
        <f t="shared" si="180"/>
        <v>0</v>
      </c>
      <c r="AF172" s="174">
        <f t="shared" si="18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8"/>
        <v>0</v>
      </c>
      <c r="N173" s="161">
        <f t="shared" si="178"/>
        <v>0</v>
      </c>
      <c r="O173" s="161">
        <f t="shared" si="178"/>
        <v>0</v>
      </c>
      <c r="P173" s="161">
        <f t="shared" si="178"/>
        <v>0</v>
      </c>
      <c r="Q173" s="161">
        <f t="shared" si="179"/>
        <v>0</v>
      </c>
      <c r="R173" s="161">
        <f t="shared" si="179"/>
        <v>0</v>
      </c>
      <c r="S173" s="161">
        <f t="shared" si="180"/>
        <v>0</v>
      </c>
      <c r="T173" s="161">
        <f t="shared" si="180"/>
        <v>0</v>
      </c>
      <c r="U173" s="161">
        <f t="shared" si="180"/>
        <v>0</v>
      </c>
      <c r="V173" s="161">
        <f t="shared" si="180"/>
        <v>0</v>
      </c>
      <c r="W173" s="161">
        <f t="shared" si="180"/>
        <v>0</v>
      </c>
      <c r="X173" s="161">
        <f t="shared" si="180"/>
        <v>0</v>
      </c>
      <c r="Y173" s="161">
        <f t="shared" si="180"/>
        <v>0</v>
      </c>
      <c r="Z173" s="161">
        <f t="shared" si="180"/>
        <v>0</v>
      </c>
      <c r="AA173" s="161">
        <f t="shared" si="180"/>
        <v>0</v>
      </c>
      <c r="AB173" s="161">
        <f t="shared" si="180"/>
        <v>0</v>
      </c>
      <c r="AC173" s="161">
        <f t="shared" si="181"/>
        <v>0</v>
      </c>
      <c r="AD173" s="161">
        <f t="shared" si="182"/>
        <v>0</v>
      </c>
      <c r="AE173" s="161">
        <f t="shared" si="180"/>
        <v>0</v>
      </c>
      <c r="AF173" s="174">
        <f t="shared" si="18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8"/>
        <v>0</v>
      </c>
      <c r="N174" s="161">
        <f t="shared" si="178"/>
        <v>0</v>
      </c>
      <c r="O174" s="161">
        <f t="shared" si="178"/>
        <v>0</v>
      </c>
      <c r="P174" s="161">
        <f t="shared" si="178"/>
        <v>0</v>
      </c>
      <c r="Q174" s="161">
        <f t="shared" si="179"/>
        <v>0</v>
      </c>
      <c r="R174" s="161">
        <f t="shared" si="179"/>
        <v>0</v>
      </c>
      <c r="S174" s="161">
        <f t="shared" si="180"/>
        <v>0</v>
      </c>
      <c r="T174" s="161">
        <f t="shared" si="180"/>
        <v>0</v>
      </c>
      <c r="U174" s="161">
        <f t="shared" si="180"/>
        <v>0</v>
      </c>
      <c r="V174" s="161">
        <f t="shared" si="180"/>
        <v>0</v>
      </c>
      <c r="W174" s="161">
        <f t="shared" si="180"/>
        <v>0</v>
      </c>
      <c r="X174" s="161">
        <f t="shared" si="180"/>
        <v>0</v>
      </c>
      <c r="Y174" s="161">
        <f t="shared" si="180"/>
        <v>0</v>
      </c>
      <c r="Z174" s="161">
        <f t="shared" si="180"/>
        <v>0</v>
      </c>
      <c r="AA174" s="161">
        <f t="shared" si="180"/>
        <v>0</v>
      </c>
      <c r="AB174" s="161">
        <f t="shared" si="180"/>
        <v>0</v>
      </c>
      <c r="AC174" s="161">
        <f t="shared" si="181"/>
        <v>0</v>
      </c>
      <c r="AD174" s="161">
        <f t="shared" si="182"/>
        <v>0</v>
      </c>
      <c r="AE174" s="161">
        <f t="shared" si="180"/>
        <v>0</v>
      </c>
      <c r="AF174" s="174">
        <f t="shared" si="18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8"/>
        <v>0</v>
      </c>
      <c r="N175" s="161">
        <f t="shared" si="178"/>
        <v>0</v>
      </c>
      <c r="O175" s="161">
        <f t="shared" si="178"/>
        <v>0</v>
      </c>
      <c r="P175" s="161">
        <f t="shared" si="178"/>
        <v>0</v>
      </c>
      <c r="Q175" s="161">
        <f t="shared" si="179"/>
        <v>0</v>
      </c>
      <c r="R175" s="161">
        <f t="shared" si="179"/>
        <v>0</v>
      </c>
      <c r="S175" s="161">
        <f t="shared" si="180"/>
        <v>0</v>
      </c>
      <c r="T175" s="161">
        <f t="shared" si="180"/>
        <v>0</v>
      </c>
      <c r="U175" s="161">
        <f t="shared" si="180"/>
        <v>0</v>
      </c>
      <c r="V175" s="161">
        <f t="shared" si="180"/>
        <v>0</v>
      </c>
      <c r="W175" s="161">
        <f t="shared" si="180"/>
        <v>0</v>
      </c>
      <c r="X175" s="161">
        <f t="shared" si="180"/>
        <v>0</v>
      </c>
      <c r="Y175" s="161">
        <f t="shared" si="180"/>
        <v>0</v>
      </c>
      <c r="Z175" s="161">
        <f t="shared" si="180"/>
        <v>0</v>
      </c>
      <c r="AA175" s="161">
        <f t="shared" si="180"/>
        <v>0</v>
      </c>
      <c r="AB175" s="161">
        <f t="shared" si="180"/>
        <v>0</v>
      </c>
      <c r="AC175" s="161">
        <f t="shared" si="181"/>
        <v>0</v>
      </c>
      <c r="AD175" s="161">
        <f t="shared" si="182"/>
        <v>0</v>
      </c>
      <c r="AE175" s="161">
        <f t="shared" si="180"/>
        <v>0</v>
      </c>
      <c r="AF175" s="174">
        <f t="shared" si="18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8"/>
        <v>0</v>
      </c>
      <c r="N176" s="161">
        <f t="shared" si="178"/>
        <v>0</v>
      </c>
      <c r="O176" s="161">
        <f t="shared" si="178"/>
        <v>0</v>
      </c>
      <c r="P176" s="161">
        <f t="shared" si="178"/>
        <v>0</v>
      </c>
      <c r="Q176" s="161">
        <f t="shared" si="179"/>
        <v>0</v>
      </c>
      <c r="R176" s="161">
        <f t="shared" si="179"/>
        <v>0</v>
      </c>
      <c r="S176" s="161">
        <f t="shared" si="180"/>
        <v>0</v>
      </c>
      <c r="T176" s="161">
        <f t="shared" si="180"/>
        <v>0</v>
      </c>
      <c r="U176" s="161">
        <f t="shared" si="180"/>
        <v>0</v>
      </c>
      <c r="V176" s="161">
        <f t="shared" si="180"/>
        <v>0</v>
      </c>
      <c r="W176" s="161">
        <f t="shared" si="180"/>
        <v>0</v>
      </c>
      <c r="X176" s="161">
        <f t="shared" si="180"/>
        <v>0</v>
      </c>
      <c r="Y176" s="161">
        <f t="shared" si="180"/>
        <v>0</v>
      </c>
      <c r="Z176" s="161">
        <f t="shared" si="180"/>
        <v>0</v>
      </c>
      <c r="AA176" s="161">
        <f t="shared" si="180"/>
        <v>0</v>
      </c>
      <c r="AB176" s="161">
        <f t="shared" si="180"/>
        <v>0</v>
      </c>
      <c r="AC176" s="161">
        <f t="shared" si="181"/>
        <v>0</v>
      </c>
      <c r="AD176" s="161">
        <f t="shared" si="182"/>
        <v>0</v>
      </c>
      <c r="AE176" s="161">
        <f t="shared" si="180"/>
        <v>0</v>
      </c>
      <c r="AF176" s="174">
        <f t="shared" si="18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8"/>
        <v>0</v>
      </c>
      <c r="N177" s="161">
        <f t="shared" si="178"/>
        <v>0</v>
      </c>
      <c r="O177" s="161">
        <f t="shared" si="178"/>
        <v>0</v>
      </c>
      <c r="P177" s="161">
        <f t="shared" si="178"/>
        <v>0</v>
      </c>
      <c r="Q177" s="161">
        <f t="shared" si="179"/>
        <v>0</v>
      </c>
      <c r="R177" s="161">
        <f t="shared" si="179"/>
        <v>0</v>
      </c>
      <c r="S177" s="161">
        <f t="shared" si="180"/>
        <v>0</v>
      </c>
      <c r="T177" s="161">
        <f t="shared" si="180"/>
        <v>0</v>
      </c>
      <c r="U177" s="161">
        <f t="shared" si="180"/>
        <v>0</v>
      </c>
      <c r="V177" s="161">
        <f t="shared" si="180"/>
        <v>0</v>
      </c>
      <c r="W177" s="161">
        <f t="shared" si="180"/>
        <v>0</v>
      </c>
      <c r="X177" s="161">
        <f t="shared" si="180"/>
        <v>0</v>
      </c>
      <c r="Y177" s="161">
        <f t="shared" si="180"/>
        <v>0</v>
      </c>
      <c r="Z177" s="161">
        <f t="shared" si="180"/>
        <v>0</v>
      </c>
      <c r="AA177" s="161">
        <f t="shared" si="180"/>
        <v>0</v>
      </c>
      <c r="AB177" s="161">
        <f t="shared" si="180"/>
        <v>0</v>
      </c>
      <c r="AC177" s="161">
        <f t="shared" si="181"/>
        <v>0</v>
      </c>
      <c r="AD177" s="161">
        <f t="shared" si="182"/>
        <v>0</v>
      </c>
      <c r="AE177" s="161">
        <f t="shared" si="180"/>
        <v>0</v>
      </c>
      <c r="AF177" s="174">
        <f t="shared" si="18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8"/>
        <v>0</v>
      </c>
      <c r="N178" s="161">
        <f t="shared" si="178"/>
        <v>0</v>
      </c>
      <c r="O178" s="161">
        <f t="shared" si="178"/>
        <v>0</v>
      </c>
      <c r="P178" s="161">
        <f t="shared" si="178"/>
        <v>0</v>
      </c>
      <c r="Q178" s="161">
        <f t="shared" si="179"/>
        <v>0</v>
      </c>
      <c r="R178" s="161">
        <f t="shared" si="179"/>
        <v>0</v>
      </c>
      <c r="S178" s="161">
        <f t="shared" si="180"/>
        <v>0</v>
      </c>
      <c r="T178" s="161">
        <f t="shared" si="180"/>
        <v>0</v>
      </c>
      <c r="U178" s="161">
        <f t="shared" si="180"/>
        <v>0</v>
      </c>
      <c r="V178" s="161">
        <f t="shared" si="180"/>
        <v>0</v>
      </c>
      <c r="W178" s="161">
        <f t="shared" si="180"/>
        <v>0</v>
      </c>
      <c r="X178" s="161">
        <f t="shared" si="180"/>
        <v>0</v>
      </c>
      <c r="Y178" s="161">
        <f t="shared" si="180"/>
        <v>0</v>
      </c>
      <c r="Z178" s="161">
        <f t="shared" si="180"/>
        <v>0</v>
      </c>
      <c r="AA178" s="161">
        <f t="shared" si="180"/>
        <v>0</v>
      </c>
      <c r="AB178" s="161">
        <f t="shared" si="180"/>
        <v>0</v>
      </c>
      <c r="AC178" s="161">
        <f t="shared" si="181"/>
        <v>0</v>
      </c>
      <c r="AD178" s="161">
        <f t="shared" si="182"/>
        <v>0</v>
      </c>
      <c r="AE178" s="161">
        <f t="shared" si="180"/>
        <v>0</v>
      </c>
      <c r="AF178" s="174">
        <f t="shared" si="18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8"/>
        <v>0</v>
      </c>
      <c r="N179" s="161">
        <f t="shared" si="178"/>
        <v>0</v>
      </c>
      <c r="O179" s="161">
        <f t="shared" si="178"/>
        <v>0</v>
      </c>
      <c r="P179" s="161">
        <f t="shared" si="178"/>
        <v>0</v>
      </c>
      <c r="Q179" s="161">
        <f t="shared" si="179"/>
        <v>0</v>
      </c>
      <c r="R179" s="161">
        <f t="shared" si="179"/>
        <v>0</v>
      </c>
      <c r="S179" s="161">
        <f t="shared" si="180"/>
        <v>0</v>
      </c>
      <c r="T179" s="161">
        <f t="shared" si="180"/>
        <v>0</v>
      </c>
      <c r="U179" s="161">
        <f t="shared" si="180"/>
        <v>0</v>
      </c>
      <c r="V179" s="161">
        <f t="shared" si="180"/>
        <v>0</v>
      </c>
      <c r="W179" s="161">
        <f t="shared" si="180"/>
        <v>0</v>
      </c>
      <c r="X179" s="161">
        <f t="shared" si="180"/>
        <v>0</v>
      </c>
      <c r="Y179" s="161">
        <f t="shared" si="180"/>
        <v>0</v>
      </c>
      <c r="Z179" s="161">
        <f t="shared" si="180"/>
        <v>0</v>
      </c>
      <c r="AA179" s="161">
        <f t="shared" si="180"/>
        <v>0</v>
      </c>
      <c r="AB179" s="161">
        <f t="shared" si="180"/>
        <v>0</v>
      </c>
      <c r="AC179" s="161">
        <f t="shared" si="181"/>
        <v>0</v>
      </c>
      <c r="AD179" s="161">
        <f t="shared" si="182"/>
        <v>0</v>
      </c>
      <c r="AE179" s="161">
        <f t="shared" si="180"/>
        <v>0</v>
      </c>
      <c r="AF179" s="174">
        <f t="shared" si="18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8"/>
        <v>0</v>
      </c>
      <c r="N180" s="161">
        <f t="shared" si="178"/>
        <v>0</v>
      </c>
      <c r="O180" s="161">
        <f t="shared" si="178"/>
        <v>0</v>
      </c>
      <c r="P180" s="161">
        <f t="shared" si="178"/>
        <v>0</v>
      </c>
      <c r="Q180" s="161">
        <f t="shared" si="179"/>
        <v>0</v>
      </c>
      <c r="R180" s="161">
        <f t="shared" si="179"/>
        <v>0</v>
      </c>
      <c r="S180" s="161">
        <f t="shared" si="180"/>
        <v>0</v>
      </c>
      <c r="T180" s="161">
        <f t="shared" si="180"/>
        <v>0</v>
      </c>
      <c r="U180" s="161">
        <f t="shared" si="180"/>
        <v>0</v>
      </c>
      <c r="V180" s="161">
        <f t="shared" si="180"/>
        <v>0</v>
      </c>
      <c r="W180" s="161">
        <f t="shared" si="180"/>
        <v>0</v>
      </c>
      <c r="X180" s="161">
        <f t="shared" si="180"/>
        <v>0</v>
      </c>
      <c r="Y180" s="161">
        <f t="shared" si="180"/>
        <v>0</v>
      </c>
      <c r="Z180" s="161">
        <f t="shared" si="180"/>
        <v>0</v>
      </c>
      <c r="AA180" s="161">
        <f t="shared" si="180"/>
        <v>0</v>
      </c>
      <c r="AB180" s="161">
        <f t="shared" si="180"/>
        <v>0</v>
      </c>
      <c r="AC180" s="161">
        <f t="shared" si="181"/>
        <v>0</v>
      </c>
      <c r="AD180" s="161">
        <f t="shared" si="182"/>
        <v>0</v>
      </c>
      <c r="AE180" s="161">
        <f t="shared" si="180"/>
        <v>0</v>
      </c>
      <c r="AF180" s="174">
        <f t="shared" si="18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8"/>
        <v>0</v>
      </c>
      <c r="N181" s="161">
        <f t="shared" si="178"/>
        <v>0</v>
      </c>
      <c r="O181" s="161">
        <f t="shared" si="178"/>
        <v>0</v>
      </c>
      <c r="P181" s="161">
        <f t="shared" si="178"/>
        <v>0</v>
      </c>
      <c r="Q181" s="161">
        <f t="shared" si="179"/>
        <v>0</v>
      </c>
      <c r="R181" s="161">
        <f t="shared" si="179"/>
        <v>0</v>
      </c>
      <c r="S181" s="161">
        <f t="shared" si="180"/>
        <v>0</v>
      </c>
      <c r="T181" s="161">
        <f t="shared" si="180"/>
        <v>0</v>
      </c>
      <c r="U181" s="161">
        <f t="shared" si="180"/>
        <v>0</v>
      </c>
      <c r="V181" s="161">
        <f t="shared" si="180"/>
        <v>0</v>
      </c>
      <c r="W181" s="161">
        <f t="shared" si="180"/>
        <v>0</v>
      </c>
      <c r="X181" s="161">
        <f t="shared" si="180"/>
        <v>0</v>
      </c>
      <c r="Y181" s="161">
        <f t="shared" si="180"/>
        <v>0</v>
      </c>
      <c r="Z181" s="161">
        <f t="shared" si="180"/>
        <v>0</v>
      </c>
      <c r="AA181" s="161">
        <f t="shared" si="180"/>
        <v>0</v>
      </c>
      <c r="AB181" s="161">
        <f t="shared" si="180"/>
        <v>0</v>
      </c>
      <c r="AC181" s="161">
        <f t="shared" si="181"/>
        <v>0</v>
      </c>
      <c r="AD181" s="161">
        <f t="shared" si="182"/>
        <v>0</v>
      </c>
      <c r="AE181" s="161">
        <f t="shared" si="180"/>
        <v>0</v>
      </c>
      <c r="AF181" s="174">
        <f t="shared" si="18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8"/>
        <v>0</v>
      </c>
      <c r="N182" s="161">
        <f t="shared" si="178"/>
        <v>0</v>
      </c>
      <c r="O182" s="161">
        <f t="shared" si="178"/>
        <v>0</v>
      </c>
      <c r="P182" s="161">
        <f t="shared" si="178"/>
        <v>0</v>
      </c>
      <c r="Q182" s="161">
        <f t="shared" si="179"/>
        <v>0</v>
      </c>
      <c r="R182" s="161">
        <f t="shared" si="179"/>
        <v>0</v>
      </c>
      <c r="S182" s="161">
        <f t="shared" si="180"/>
        <v>0</v>
      </c>
      <c r="T182" s="161">
        <f t="shared" si="180"/>
        <v>0</v>
      </c>
      <c r="U182" s="161">
        <f t="shared" si="180"/>
        <v>0</v>
      </c>
      <c r="V182" s="161">
        <f t="shared" si="180"/>
        <v>0</v>
      </c>
      <c r="W182" s="161">
        <f t="shared" si="180"/>
        <v>0</v>
      </c>
      <c r="X182" s="161">
        <f t="shared" si="180"/>
        <v>0</v>
      </c>
      <c r="Y182" s="161">
        <f t="shared" si="180"/>
        <v>0</v>
      </c>
      <c r="Z182" s="161">
        <f t="shared" si="180"/>
        <v>0</v>
      </c>
      <c r="AA182" s="161">
        <f t="shared" si="180"/>
        <v>0</v>
      </c>
      <c r="AB182" s="161">
        <f t="shared" si="180"/>
        <v>0</v>
      </c>
      <c r="AC182" s="161">
        <f t="shared" si="181"/>
        <v>0</v>
      </c>
      <c r="AD182" s="161">
        <f t="shared" si="182"/>
        <v>0</v>
      </c>
      <c r="AE182" s="161">
        <f t="shared" si="180"/>
        <v>0</v>
      </c>
      <c r="AF182" s="174">
        <f t="shared" si="18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8"/>
        <v>0</v>
      </c>
      <c r="N183" s="161">
        <f t="shared" si="178"/>
        <v>0</v>
      </c>
      <c r="O183" s="161">
        <f t="shared" si="178"/>
        <v>0</v>
      </c>
      <c r="P183" s="161">
        <f t="shared" si="178"/>
        <v>0</v>
      </c>
      <c r="Q183" s="161">
        <f t="shared" si="179"/>
        <v>0</v>
      </c>
      <c r="R183" s="161">
        <f t="shared" si="179"/>
        <v>0</v>
      </c>
      <c r="S183" s="161">
        <f t="shared" si="180"/>
        <v>0</v>
      </c>
      <c r="T183" s="161">
        <f t="shared" si="180"/>
        <v>0</v>
      </c>
      <c r="U183" s="161">
        <f t="shared" si="180"/>
        <v>0</v>
      </c>
      <c r="V183" s="161">
        <f t="shared" si="180"/>
        <v>0</v>
      </c>
      <c r="W183" s="161">
        <f t="shared" si="180"/>
        <v>0</v>
      </c>
      <c r="X183" s="161">
        <f t="shared" si="180"/>
        <v>0</v>
      </c>
      <c r="Y183" s="161">
        <f t="shared" si="180"/>
        <v>0</v>
      </c>
      <c r="Z183" s="161">
        <f t="shared" si="180"/>
        <v>0</v>
      </c>
      <c r="AA183" s="161">
        <f t="shared" si="180"/>
        <v>0</v>
      </c>
      <c r="AB183" s="161">
        <f t="shared" si="180"/>
        <v>0</v>
      </c>
      <c r="AC183" s="161">
        <f t="shared" si="181"/>
        <v>0</v>
      </c>
      <c r="AD183" s="161">
        <f t="shared" si="182"/>
        <v>0</v>
      </c>
      <c r="AE183" s="161">
        <f t="shared" si="180"/>
        <v>0</v>
      </c>
      <c r="AF183" s="174">
        <f t="shared" si="18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8"/>
        <v>0</v>
      </c>
      <c r="N184" s="161">
        <f t="shared" si="178"/>
        <v>0</v>
      </c>
      <c r="O184" s="161">
        <f t="shared" si="178"/>
        <v>0</v>
      </c>
      <c r="P184" s="161">
        <f t="shared" si="178"/>
        <v>0</v>
      </c>
      <c r="Q184" s="161">
        <f t="shared" si="179"/>
        <v>0</v>
      </c>
      <c r="R184" s="161">
        <f t="shared" si="179"/>
        <v>0</v>
      </c>
      <c r="S184" s="161">
        <f t="shared" ref="R184:AF199" si="183">R184</f>
        <v>0</v>
      </c>
      <c r="T184" s="161">
        <f t="shared" si="183"/>
        <v>0</v>
      </c>
      <c r="U184" s="161">
        <f t="shared" si="183"/>
        <v>0</v>
      </c>
      <c r="V184" s="161">
        <f t="shared" si="183"/>
        <v>0</v>
      </c>
      <c r="W184" s="161">
        <f t="shared" si="183"/>
        <v>0</v>
      </c>
      <c r="X184" s="161">
        <f t="shared" si="183"/>
        <v>0</v>
      </c>
      <c r="Y184" s="161">
        <f t="shared" si="183"/>
        <v>0</v>
      </c>
      <c r="Z184" s="161">
        <f t="shared" si="183"/>
        <v>0</v>
      </c>
      <c r="AA184" s="161">
        <f t="shared" si="183"/>
        <v>0</v>
      </c>
      <c r="AB184" s="161">
        <f t="shared" si="180"/>
        <v>0</v>
      </c>
      <c r="AC184" s="161">
        <f t="shared" si="181"/>
        <v>0</v>
      </c>
      <c r="AD184" s="161">
        <f t="shared" si="182"/>
        <v>0</v>
      </c>
      <c r="AE184" s="161">
        <f t="shared" si="183"/>
        <v>0</v>
      </c>
      <c r="AF184" s="174">
        <f t="shared" si="18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4">B185</f>
        <v>0</v>
      </c>
      <c r="D185" s="161">
        <f t="shared" si="184"/>
        <v>0</v>
      </c>
      <c r="E185" s="161">
        <f t="shared" si="184"/>
        <v>0</v>
      </c>
      <c r="F185" s="161">
        <f t="shared" si="184"/>
        <v>0</v>
      </c>
      <c r="G185" s="161">
        <f t="shared" si="184"/>
        <v>0</v>
      </c>
      <c r="H185" s="161">
        <f t="shared" si="184"/>
        <v>0</v>
      </c>
      <c r="I185" s="161">
        <f t="shared" si="184"/>
        <v>0</v>
      </c>
      <c r="J185" s="161">
        <f t="shared" si="184"/>
        <v>0</v>
      </c>
      <c r="K185" s="161">
        <f t="shared" si="184"/>
        <v>0</v>
      </c>
      <c r="L185" s="161">
        <f t="shared" si="184"/>
        <v>0</v>
      </c>
      <c r="M185" s="161">
        <f t="shared" si="178"/>
        <v>0</v>
      </c>
      <c r="N185" s="161">
        <f t="shared" si="178"/>
        <v>0</v>
      </c>
      <c r="O185" s="161">
        <f t="shared" si="178"/>
        <v>0</v>
      </c>
      <c r="P185" s="161">
        <f t="shared" si="178"/>
        <v>0</v>
      </c>
      <c r="Q185" s="161">
        <f t="shared" si="179"/>
        <v>0</v>
      </c>
      <c r="R185" s="161">
        <f t="shared" si="179"/>
        <v>0</v>
      </c>
      <c r="S185" s="161">
        <f t="shared" si="183"/>
        <v>0</v>
      </c>
      <c r="T185" s="161">
        <f t="shared" si="183"/>
        <v>0</v>
      </c>
      <c r="U185" s="161">
        <f t="shared" si="183"/>
        <v>0</v>
      </c>
      <c r="V185" s="161">
        <f t="shared" si="183"/>
        <v>0</v>
      </c>
      <c r="W185" s="161">
        <f t="shared" si="183"/>
        <v>0</v>
      </c>
      <c r="X185" s="161">
        <f t="shared" si="183"/>
        <v>0</v>
      </c>
      <c r="Y185" s="161">
        <f t="shared" si="183"/>
        <v>0</v>
      </c>
      <c r="Z185" s="161">
        <f t="shared" si="183"/>
        <v>0</v>
      </c>
      <c r="AA185" s="161">
        <f t="shared" si="183"/>
        <v>0</v>
      </c>
      <c r="AB185" s="161">
        <f t="shared" si="183"/>
        <v>0</v>
      </c>
      <c r="AC185" s="161">
        <f t="shared" si="181"/>
        <v>0</v>
      </c>
      <c r="AD185" s="161">
        <f t="shared" si="182"/>
        <v>0</v>
      </c>
      <c r="AE185" s="161">
        <f t="shared" si="183"/>
        <v>0</v>
      </c>
      <c r="AF185" s="174">
        <f t="shared" si="18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4"/>
        <v>0</v>
      </c>
      <c r="D186" s="161">
        <f t="shared" si="184"/>
        <v>0</v>
      </c>
      <c r="E186" s="161">
        <f t="shared" si="184"/>
        <v>0</v>
      </c>
      <c r="F186" s="161">
        <f t="shared" si="184"/>
        <v>0</v>
      </c>
      <c r="G186" s="161">
        <f t="shared" si="184"/>
        <v>0</v>
      </c>
      <c r="H186" s="161">
        <f t="shared" si="184"/>
        <v>0</v>
      </c>
      <c r="I186" s="161">
        <f t="shared" si="184"/>
        <v>0</v>
      </c>
      <c r="J186" s="161">
        <f t="shared" si="184"/>
        <v>0</v>
      </c>
      <c r="K186" s="161">
        <f t="shared" si="184"/>
        <v>0</v>
      </c>
      <c r="L186" s="161">
        <f t="shared" si="184"/>
        <v>0</v>
      </c>
      <c r="M186" s="161">
        <f t="shared" si="178"/>
        <v>0</v>
      </c>
      <c r="N186" s="161">
        <f t="shared" si="178"/>
        <v>0</v>
      </c>
      <c r="O186" s="161">
        <f t="shared" si="178"/>
        <v>0</v>
      </c>
      <c r="P186" s="161">
        <f t="shared" si="178"/>
        <v>0</v>
      </c>
      <c r="Q186" s="161">
        <f t="shared" si="179"/>
        <v>0</v>
      </c>
      <c r="R186" s="161">
        <f t="shared" si="179"/>
        <v>0</v>
      </c>
      <c r="S186" s="161">
        <f t="shared" si="183"/>
        <v>0</v>
      </c>
      <c r="T186" s="161">
        <f t="shared" si="183"/>
        <v>0</v>
      </c>
      <c r="U186" s="161">
        <f t="shared" si="183"/>
        <v>0</v>
      </c>
      <c r="V186" s="161">
        <f t="shared" si="183"/>
        <v>0</v>
      </c>
      <c r="W186" s="161">
        <f t="shared" si="183"/>
        <v>0</v>
      </c>
      <c r="X186" s="161">
        <f t="shared" si="183"/>
        <v>0</v>
      </c>
      <c r="Y186" s="161">
        <f t="shared" si="183"/>
        <v>0</v>
      </c>
      <c r="Z186" s="161">
        <f t="shared" si="183"/>
        <v>0</v>
      </c>
      <c r="AA186" s="161">
        <f t="shared" si="183"/>
        <v>0</v>
      </c>
      <c r="AB186" s="161">
        <f t="shared" si="183"/>
        <v>0</v>
      </c>
      <c r="AC186" s="161">
        <f t="shared" si="181"/>
        <v>0</v>
      </c>
      <c r="AD186" s="161">
        <f t="shared" si="182"/>
        <v>0</v>
      </c>
      <c r="AE186" s="161">
        <f t="shared" si="183"/>
        <v>0</v>
      </c>
      <c r="AF186" s="174">
        <f t="shared" si="18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4"/>
        <v>0</v>
      </c>
      <c r="D187" s="161">
        <f t="shared" si="184"/>
        <v>0</v>
      </c>
      <c r="E187" s="161">
        <f t="shared" si="184"/>
        <v>0</v>
      </c>
      <c r="F187" s="161">
        <f t="shared" si="184"/>
        <v>0</v>
      </c>
      <c r="G187" s="161">
        <f t="shared" si="184"/>
        <v>0</v>
      </c>
      <c r="H187" s="161">
        <f t="shared" si="184"/>
        <v>0</v>
      </c>
      <c r="I187" s="161">
        <f t="shared" si="184"/>
        <v>0</v>
      </c>
      <c r="J187" s="161">
        <f t="shared" si="184"/>
        <v>0</v>
      </c>
      <c r="K187" s="161">
        <f t="shared" si="184"/>
        <v>0</v>
      </c>
      <c r="L187" s="161">
        <f t="shared" si="184"/>
        <v>0</v>
      </c>
      <c r="M187" s="161">
        <f t="shared" si="178"/>
        <v>0</v>
      </c>
      <c r="N187" s="161">
        <f t="shared" si="178"/>
        <v>0</v>
      </c>
      <c r="O187" s="161">
        <f t="shared" si="178"/>
        <v>0</v>
      </c>
      <c r="P187" s="161">
        <f t="shared" si="178"/>
        <v>0</v>
      </c>
      <c r="Q187" s="161">
        <f t="shared" si="179"/>
        <v>0</v>
      </c>
      <c r="R187" s="161">
        <f t="shared" si="179"/>
        <v>0</v>
      </c>
      <c r="S187" s="161">
        <f t="shared" si="183"/>
        <v>0</v>
      </c>
      <c r="T187" s="161">
        <f t="shared" si="183"/>
        <v>0</v>
      </c>
      <c r="U187" s="161">
        <f t="shared" si="183"/>
        <v>0</v>
      </c>
      <c r="V187" s="161">
        <f t="shared" si="183"/>
        <v>0</v>
      </c>
      <c r="W187" s="161">
        <f t="shared" si="183"/>
        <v>0</v>
      </c>
      <c r="X187" s="161">
        <f t="shared" si="183"/>
        <v>0</v>
      </c>
      <c r="Y187" s="161">
        <f t="shared" si="183"/>
        <v>0</v>
      </c>
      <c r="Z187" s="161">
        <f t="shared" si="183"/>
        <v>0</v>
      </c>
      <c r="AA187" s="161">
        <f t="shared" si="183"/>
        <v>0</v>
      </c>
      <c r="AB187" s="161">
        <f t="shared" si="183"/>
        <v>0</v>
      </c>
      <c r="AC187" s="161">
        <f t="shared" si="181"/>
        <v>0</v>
      </c>
      <c r="AD187" s="161">
        <f t="shared" si="182"/>
        <v>0</v>
      </c>
      <c r="AE187" s="161">
        <f t="shared" si="183"/>
        <v>0</v>
      </c>
      <c r="AF187" s="174">
        <f t="shared" si="18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4"/>
        <v>0</v>
      </c>
      <c r="D188" s="161">
        <f t="shared" si="184"/>
        <v>0</v>
      </c>
      <c r="E188" s="161">
        <f t="shared" si="184"/>
        <v>0</v>
      </c>
      <c r="F188" s="161">
        <f t="shared" si="184"/>
        <v>0</v>
      </c>
      <c r="G188" s="161">
        <f t="shared" si="184"/>
        <v>0</v>
      </c>
      <c r="H188" s="161">
        <f t="shared" si="184"/>
        <v>0</v>
      </c>
      <c r="I188" s="161">
        <f t="shared" si="184"/>
        <v>0</v>
      </c>
      <c r="J188" s="161">
        <f t="shared" si="184"/>
        <v>0</v>
      </c>
      <c r="K188" s="161">
        <f t="shared" si="184"/>
        <v>0</v>
      </c>
      <c r="L188" s="161">
        <f t="shared" si="184"/>
        <v>0</v>
      </c>
      <c r="M188" s="161">
        <f t="shared" si="178"/>
        <v>0</v>
      </c>
      <c r="N188" s="161">
        <f t="shared" si="178"/>
        <v>0</v>
      </c>
      <c r="O188" s="161">
        <f t="shared" si="178"/>
        <v>0</v>
      </c>
      <c r="P188" s="161">
        <f t="shared" si="178"/>
        <v>0</v>
      </c>
      <c r="Q188" s="161">
        <f t="shared" si="179"/>
        <v>0</v>
      </c>
      <c r="R188" s="161">
        <f t="shared" si="179"/>
        <v>0</v>
      </c>
      <c r="S188" s="161">
        <f t="shared" si="183"/>
        <v>0</v>
      </c>
      <c r="T188" s="161">
        <f t="shared" si="183"/>
        <v>0</v>
      </c>
      <c r="U188" s="161">
        <f t="shared" si="183"/>
        <v>0</v>
      </c>
      <c r="V188" s="161">
        <f t="shared" si="183"/>
        <v>0</v>
      </c>
      <c r="W188" s="161">
        <f t="shared" si="183"/>
        <v>0</v>
      </c>
      <c r="X188" s="161">
        <f t="shared" si="183"/>
        <v>0</v>
      </c>
      <c r="Y188" s="161">
        <f t="shared" si="183"/>
        <v>0</v>
      </c>
      <c r="Z188" s="161">
        <f t="shared" si="183"/>
        <v>0</v>
      </c>
      <c r="AA188" s="161">
        <f t="shared" si="183"/>
        <v>0</v>
      </c>
      <c r="AB188" s="161">
        <f t="shared" si="183"/>
        <v>0</v>
      </c>
      <c r="AC188" s="161">
        <f t="shared" si="181"/>
        <v>0</v>
      </c>
      <c r="AD188" s="161">
        <f t="shared" si="182"/>
        <v>0</v>
      </c>
      <c r="AE188" s="161">
        <f t="shared" si="183"/>
        <v>0</v>
      </c>
      <c r="AF188" s="174">
        <f t="shared" si="18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4"/>
        <v>0</v>
      </c>
      <c r="D189" s="161">
        <f t="shared" si="184"/>
        <v>0</v>
      </c>
      <c r="E189" s="161">
        <f t="shared" si="184"/>
        <v>0</v>
      </c>
      <c r="F189" s="161">
        <f t="shared" si="184"/>
        <v>0</v>
      </c>
      <c r="G189" s="161">
        <f t="shared" si="184"/>
        <v>0</v>
      </c>
      <c r="H189" s="161">
        <f t="shared" si="184"/>
        <v>0</v>
      </c>
      <c r="I189" s="161">
        <f t="shared" si="184"/>
        <v>0</v>
      </c>
      <c r="J189" s="161">
        <f t="shared" si="184"/>
        <v>0</v>
      </c>
      <c r="K189" s="161">
        <f t="shared" si="184"/>
        <v>0</v>
      </c>
      <c r="L189" s="161">
        <f t="shared" si="184"/>
        <v>0</v>
      </c>
      <c r="M189" s="161">
        <f t="shared" si="178"/>
        <v>0</v>
      </c>
      <c r="N189" s="161">
        <f t="shared" si="178"/>
        <v>0</v>
      </c>
      <c r="O189" s="161">
        <f t="shared" si="178"/>
        <v>0</v>
      </c>
      <c r="P189" s="161">
        <f t="shared" si="178"/>
        <v>0</v>
      </c>
      <c r="Q189" s="161">
        <f t="shared" si="179"/>
        <v>0</v>
      </c>
      <c r="R189" s="161">
        <f t="shared" si="179"/>
        <v>0</v>
      </c>
      <c r="S189" s="161">
        <f t="shared" si="183"/>
        <v>0</v>
      </c>
      <c r="T189" s="161">
        <f t="shared" si="183"/>
        <v>0</v>
      </c>
      <c r="U189" s="161">
        <f t="shared" si="183"/>
        <v>0</v>
      </c>
      <c r="V189" s="161">
        <f t="shared" si="183"/>
        <v>0</v>
      </c>
      <c r="W189" s="161">
        <f t="shared" si="183"/>
        <v>0</v>
      </c>
      <c r="X189" s="161">
        <f t="shared" si="183"/>
        <v>0</v>
      </c>
      <c r="Y189" s="161">
        <f t="shared" si="183"/>
        <v>0</v>
      </c>
      <c r="Z189" s="161">
        <f t="shared" si="183"/>
        <v>0</v>
      </c>
      <c r="AA189" s="161">
        <f t="shared" si="183"/>
        <v>0</v>
      </c>
      <c r="AB189" s="161">
        <f t="shared" si="183"/>
        <v>0</v>
      </c>
      <c r="AC189" s="161">
        <f t="shared" si="181"/>
        <v>0</v>
      </c>
      <c r="AD189" s="161">
        <f t="shared" si="182"/>
        <v>0</v>
      </c>
      <c r="AE189" s="161">
        <f t="shared" si="183"/>
        <v>0</v>
      </c>
      <c r="AF189" s="174">
        <f t="shared" si="18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4"/>
        <v>0</v>
      </c>
      <c r="D190" s="161">
        <f t="shared" si="184"/>
        <v>0</v>
      </c>
      <c r="E190" s="161">
        <f t="shared" si="184"/>
        <v>0</v>
      </c>
      <c r="F190" s="161">
        <f t="shared" si="184"/>
        <v>0</v>
      </c>
      <c r="G190" s="161">
        <f t="shared" si="184"/>
        <v>0</v>
      </c>
      <c r="H190" s="161">
        <f t="shared" si="184"/>
        <v>0</v>
      </c>
      <c r="I190" s="161">
        <f t="shared" si="184"/>
        <v>0</v>
      </c>
      <c r="J190" s="161">
        <f t="shared" si="184"/>
        <v>0</v>
      </c>
      <c r="K190" s="161">
        <f t="shared" si="184"/>
        <v>0</v>
      </c>
      <c r="L190" s="161">
        <f t="shared" si="184"/>
        <v>0</v>
      </c>
      <c r="M190" s="161">
        <f t="shared" si="178"/>
        <v>0</v>
      </c>
      <c r="N190" s="161">
        <f t="shared" si="178"/>
        <v>0</v>
      </c>
      <c r="O190" s="161">
        <f t="shared" si="178"/>
        <v>0</v>
      </c>
      <c r="P190" s="161">
        <f t="shared" si="178"/>
        <v>0</v>
      </c>
      <c r="Q190" s="161">
        <f t="shared" si="179"/>
        <v>0</v>
      </c>
      <c r="R190" s="161">
        <f t="shared" si="179"/>
        <v>0</v>
      </c>
      <c r="S190" s="161">
        <f t="shared" si="183"/>
        <v>0</v>
      </c>
      <c r="T190" s="161">
        <f t="shared" si="183"/>
        <v>0</v>
      </c>
      <c r="U190" s="161">
        <f t="shared" si="183"/>
        <v>0</v>
      </c>
      <c r="V190" s="161">
        <f t="shared" si="183"/>
        <v>0</v>
      </c>
      <c r="W190" s="161">
        <f t="shared" si="183"/>
        <v>0</v>
      </c>
      <c r="X190" s="161">
        <f t="shared" si="183"/>
        <v>0</v>
      </c>
      <c r="Y190" s="161">
        <f t="shared" si="183"/>
        <v>0</v>
      </c>
      <c r="Z190" s="161">
        <f t="shared" si="183"/>
        <v>0</v>
      </c>
      <c r="AA190" s="161">
        <f t="shared" si="183"/>
        <v>0</v>
      </c>
      <c r="AB190" s="161">
        <f t="shared" si="183"/>
        <v>0</v>
      </c>
      <c r="AC190" s="161">
        <f t="shared" si="181"/>
        <v>0</v>
      </c>
      <c r="AD190" s="161">
        <f t="shared" si="182"/>
        <v>0</v>
      </c>
      <c r="AE190" s="161">
        <f t="shared" si="183"/>
        <v>0</v>
      </c>
      <c r="AF190" s="174">
        <f t="shared" si="18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4"/>
        <v>0</v>
      </c>
      <c r="D191" s="161">
        <f t="shared" si="184"/>
        <v>0</v>
      </c>
      <c r="E191" s="161">
        <f t="shared" si="184"/>
        <v>0</v>
      </c>
      <c r="F191" s="161">
        <f t="shared" si="184"/>
        <v>0</v>
      </c>
      <c r="G191" s="161">
        <f t="shared" si="184"/>
        <v>0</v>
      </c>
      <c r="H191" s="161">
        <f t="shared" si="184"/>
        <v>0</v>
      </c>
      <c r="I191" s="161">
        <f t="shared" si="184"/>
        <v>0</v>
      </c>
      <c r="J191" s="161">
        <f t="shared" si="184"/>
        <v>0</v>
      </c>
      <c r="K191" s="161">
        <f t="shared" si="184"/>
        <v>0</v>
      </c>
      <c r="L191" s="161">
        <f t="shared" si="184"/>
        <v>0</v>
      </c>
      <c r="M191" s="161">
        <f t="shared" si="178"/>
        <v>0</v>
      </c>
      <c r="N191" s="161">
        <f t="shared" si="178"/>
        <v>0</v>
      </c>
      <c r="O191" s="161">
        <f t="shared" si="178"/>
        <v>0</v>
      </c>
      <c r="P191" s="161">
        <f t="shared" si="178"/>
        <v>0</v>
      </c>
      <c r="Q191" s="161">
        <f t="shared" si="179"/>
        <v>0</v>
      </c>
      <c r="R191" s="161">
        <f t="shared" si="179"/>
        <v>0</v>
      </c>
      <c r="S191" s="161">
        <f t="shared" si="183"/>
        <v>0</v>
      </c>
      <c r="T191" s="161">
        <f t="shared" si="183"/>
        <v>0</v>
      </c>
      <c r="U191" s="161">
        <f t="shared" si="183"/>
        <v>0</v>
      </c>
      <c r="V191" s="161">
        <f t="shared" si="183"/>
        <v>0</v>
      </c>
      <c r="W191" s="161">
        <f t="shared" si="183"/>
        <v>0</v>
      </c>
      <c r="X191" s="161">
        <f t="shared" si="183"/>
        <v>0</v>
      </c>
      <c r="Y191" s="161">
        <f t="shared" si="183"/>
        <v>0</v>
      </c>
      <c r="Z191" s="161">
        <f t="shared" si="183"/>
        <v>0</v>
      </c>
      <c r="AA191" s="161">
        <f t="shared" si="183"/>
        <v>0</v>
      </c>
      <c r="AB191" s="161">
        <f t="shared" si="183"/>
        <v>0</v>
      </c>
      <c r="AC191" s="161">
        <f t="shared" si="181"/>
        <v>0</v>
      </c>
      <c r="AD191" s="161">
        <f t="shared" si="182"/>
        <v>0</v>
      </c>
      <c r="AE191" s="161">
        <f t="shared" si="183"/>
        <v>0</v>
      </c>
      <c r="AF191" s="174">
        <f t="shared" si="18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4"/>
        <v>0</v>
      </c>
      <c r="D192" s="161">
        <f t="shared" si="184"/>
        <v>0</v>
      </c>
      <c r="E192" s="161">
        <f t="shared" si="184"/>
        <v>0</v>
      </c>
      <c r="F192" s="161">
        <f t="shared" si="184"/>
        <v>0</v>
      </c>
      <c r="G192" s="161">
        <f t="shared" si="184"/>
        <v>0</v>
      </c>
      <c r="H192" s="161">
        <f t="shared" si="184"/>
        <v>0</v>
      </c>
      <c r="I192" s="161">
        <f t="shared" si="184"/>
        <v>0</v>
      </c>
      <c r="J192" s="161">
        <f t="shared" si="184"/>
        <v>0</v>
      </c>
      <c r="K192" s="161">
        <f t="shared" si="184"/>
        <v>0</v>
      </c>
      <c r="L192" s="161">
        <f t="shared" si="184"/>
        <v>0</v>
      </c>
      <c r="M192" s="161">
        <f t="shared" si="178"/>
        <v>0</v>
      </c>
      <c r="N192" s="161">
        <f t="shared" si="178"/>
        <v>0</v>
      </c>
      <c r="O192" s="161">
        <f t="shared" si="178"/>
        <v>0</v>
      </c>
      <c r="P192" s="161">
        <f t="shared" si="178"/>
        <v>0</v>
      </c>
      <c r="Q192" s="161">
        <f t="shared" si="179"/>
        <v>0</v>
      </c>
      <c r="R192" s="161">
        <f t="shared" si="179"/>
        <v>0</v>
      </c>
      <c r="S192" s="161">
        <f t="shared" si="183"/>
        <v>0</v>
      </c>
      <c r="T192" s="161">
        <f t="shared" si="183"/>
        <v>0</v>
      </c>
      <c r="U192" s="161">
        <f t="shared" si="183"/>
        <v>0</v>
      </c>
      <c r="V192" s="161">
        <f t="shared" si="183"/>
        <v>0</v>
      </c>
      <c r="W192" s="161">
        <f t="shared" si="183"/>
        <v>0</v>
      </c>
      <c r="X192" s="161">
        <f t="shared" si="183"/>
        <v>0</v>
      </c>
      <c r="Y192" s="161">
        <f t="shared" si="183"/>
        <v>0</v>
      </c>
      <c r="Z192" s="161">
        <f t="shared" si="183"/>
        <v>0</v>
      </c>
      <c r="AA192" s="161">
        <f t="shared" si="183"/>
        <v>0</v>
      </c>
      <c r="AB192" s="161">
        <f t="shared" si="183"/>
        <v>0</v>
      </c>
      <c r="AC192" s="161">
        <f t="shared" si="181"/>
        <v>0</v>
      </c>
      <c r="AD192" s="161">
        <f t="shared" si="182"/>
        <v>0</v>
      </c>
      <c r="AE192" s="161">
        <f t="shared" si="183"/>
        <v>0</v>
      </c>
      <c r="AF192" s="174">
        <f t="shared" si="18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4"/>
        <v>0</v>
      </c>
      <c r="D193" s="161">
        <f t="shared" si="184"/>
        <v>0</v>
      </c>
      <c r="E193" s="161">
        <f t="shared" si="184"/>
        <v>0</v>
      </c>
      <c r="F193" s="161">
        <f t="shared" si="184"/>
        <v>0</v>
      </c>
      <c r="G193" s="161">
        <f t="shared" si="184"/>
        <v>0</v>
      </c>
      <c r="H193" s="161">
        <f t="shared" si="184"/>
        <v>0</v>
      </c>
      <c r="I193" s="161">
        <f t="shared" si="184"/>
        <v>0</v>
      </c>
      <c r="J193" s="161">
        <f t="shared" si="184"/>
        <v>0</v>
      </c>
      <c r="K193" s="161">
        <f t="shared" si="184"/>
        <v>0</v>
      </c>
      <c r="L193" s="161">
        <f t="shared" si="184"/>
        <v>0</v>
      </c>
      <c r="M193" s="161">
        <f t="shared" si="178"/>
        <v>0</v>
      </c>
      <c r="N193" s="161">
        <f t="shared" si="178"/>
        <v>0</v>
      </c>
      <c r="O193" s="161">
        <f t="shared" si="178"/>
        <v>0</v>
      </c>
      <c r="P193" s="161">
        <f t="shared" si="178"/>
        <v>0</v>
      </c>
      <c r="Q193" s="161">
        <f t="shared" si="179"/>
        <v>0</v>
      </c>
      <c r="R193" s="161">
        <f t="shared" si="179"/>
        <v>0</v>
      </c>
      <c r="S193" s="161">
        <f t="shared" si="183"/>
        <v>0</v>
      </c>
      <c r="T193" s="161">
        <f t="shared" si="183"/>
        <v>0</v>
      </c>
      <c r="U193" s="161">
        <f t="shared" si="183"/>
        <v>0</v>
      </c>
      <c r="V193" s="161">
        <f t="shared" si="183"/>
        <v>0</v>
      </c>
      <c r="W193" s="161">
        <f t="shared" si="183"/>
        <v>0</v>
      </c>
      <c r="X193" s="161">
        <f t="shared" si="183"/>
        <v>0</v>
      </c>
      <c r="Y193" s="161">
        <f t="shared" si="183"/>
        <v>0</v>
      </c>
      <c r="Z193" s="161">
        <f t="shared" si="183"/>
        <v>0</v>
      </c>
      <c r="AA193" s="161">
        <f t="shared" si="183"/>
        <v>0</v>
      </c>
      <c r="AB193" s="161">
        <f t="shared" si="183"/>
        <v>0</v>
      </c>
      <c r="AC193" s="161">
        <f t="shared" si="181"/>
        <v>0</v>
      </c>
      <c r="AD193" s="161">
        <f t="shared" si="182"/>
        <v>0</v>
      </c>
      <c r="AE193" s="161">
        <f t="shared" si="183"/>
        <v>0</v>
      </c>
      <c r="AF193" s="174">
        <f t="shared" si="18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4"/>
        <v>0</v>
      </c>
      <c r="D194" s="161">
        <f t="shared" si="184"/>
        <v>0</v>
      </c>
      <c r="E194" s="161">
        <f t="shared" si="184"/>
        <v>0</v>
      </c>
      <c r="F194" s="161">
        <f t="shared" si="184"/>
        <v>0</v>
      </c>
      <c r="G194" s="161">
        <f t="shared" si="184"/>
        <v>0</v>
      </c>
      <c r="H194" s="161">
        <f t="shared" si="184"/>
        <v>0</v>
      </c>
      <c r="I194" s="161">
        <f t="shared" si="184"/>
        <v>0</v>
      </c>
      <c r="J194" s="161">
        <f t="shared" si="184"/>
        <v>0</v>
      </c>
      <c r="K194" s="161">
        <f t="shared" si="184"/>
        <v>0</v>
      </c>
      <c r="L194" s="161">
        <f t="shared" si="184"/>
        <v>0</v>
      </c>
      <c r="M194" s="161">
        <f t="shared" si="178"/>
        <v>0</v>
      </c>
      <c r="N194" s="161">
        <f t="shared" si="178"/>
        <v>0</v>
      </c>
      <c r="O194" s="161">
        <f t="shared" si="178"/>
        <v>0</v>
      </c>
      <c r="P194" s="161">
        <f t="shared" si="178"/>
        <v>0</v>
      </c>
      <c r="Q194" s="161">
        <f t="shared" si="179"/>
        <v>0</v>
      </c>
      <c r="R194" s="161">
        <f t="shared" si="179"/>
        <v>0</v>
      </c>
      <c r="S194" s="161">
        <f t="shared" si="183"/>
        <v>0</v>
      </c>
      <c r="T194" s="161">
        <f t="shared" si="183"/>
        <v>0</v>
      </c>
      <c r="U194" s="161">
        <f t="shared" si="183"/>
        <v>0</v>
      </c>
      <c r="V194" s="161">
        <f t="shared" si="183"/>
        <v>0</v>
      </c>
      <c r="W194" s="161">
        <f t="shared" si="183"/>
        <v>0</v>
      </c>
      <c r="X194" s="161">
        <f t="shared" si="183"/>
        <v>0</v>
      </c>
      <c r="Y194" s="161">
        <f t="shared" si="183"/>
        <v>0</v>
      </c>
      <c r="Z194" s="161">
        <f t="shared" si="183"/>
        <v>0</v>
      </c>
      <c r="AA194" s="161">
        <f t="shared" si="183"/>
        <v>0</v>
      </c>
      <c r="AB194" s="161">
        <f t="shared" si="183"/>
        <v>0</v>
      </c>
      <c r="AC194" s="161">
        <f t="shared" si="181"/>
        <v>0</v>
      </c>
      <c r="AD194" s="161">
        <f t="shared" si="182"/>
        <v>0</v>
      </c>
      <c r="AE194" s="161">
        <f t="shared" si="183"/>
        <v>0</v>
      </c>
      <c r="AF194" s="174">
        <f t="shared" si="18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4"/>
        <v>0</v>
      </c>
      <c r="D195" s="161">
        <f t="shared" si="184"/>
        <v>0</v>
      </c>
      <c r="E195" s="161">
        <f t="shared" si="184"/>
        <v>0</v>
      </c>
      <c r="F195" s="161">
        <f t="shared" si="184"/>
        <v>0</v>
      </c>
      <c r="G195" s="161">
        <f t="shared" si="184"/>
        <v>0</v>
      </c>
      <c r="H195" s="161">
        <f t="shared" si="184"/>
        <v>0</v>
      </c>
      <c r="I195" s="161">
        <f t="shared" si="184"/>
        <v>0</v>
      </c>
      <c r="J195" s="161">
        <f t="shared" si="184"/>
        <v>0</v>
      </c>
      <c r="K195" s="161">
        <f t="shared" si="184"/>
        <v>0</v>
      </c>
      <c r="L195" s="161">
        <f t="shared" si="184"/>
        <v>0</v>
      </c>
      <c r="M195" s="161">
        <f t="shared" si="178"/>
        <v>0</v>
      </c>
      <c r="N195" s="161">
        <f t="shared" si="178"/>
        <v>0</v>
      </c>
      <c r="O195" s="161">
        <f t="shared" si="178"/>
        <v>0</v>
      </c>
      <c r="P195" s="161">
        <f t="shared" si="178"/>
        <v>0</v>
      </c>
      <c r="Q195" s="161">
        <f t="shared" si="179"/>
        <v>0</v>
      </c>
      <c r="R195" s="161">
        <f t="shared" si="179"/>
        <v>0</v>
      </c>
      <c r="S195" s="161">
        <f t="shared" si="183"/>
        <v>0</v>
      </c>
      <c r="T195" s="161">
        <f t="shared" si="183"/>
        <v>0</v>
      </c>
      <c r="U195" s="161">
        <f t="shared" si="183"/>
        <v>0</v>
      </c>
      <c r="V195" s="161">
        <f t="shared" si="183"/>
        <v>0</v>
      </c>
      <c r="W195" s="161">
        <f t="shared" si="183"/>
        <v>0</v>
      </c>
      <c r="X195" s="161">
        <f t="shared" si="183"/>
        <v>0</v>
      </c>
      <c r="Y195" s="161">
        <f t="shared" si="183"/>
        <v>0</v>
      </c>
      <c r="Z195" s="161">
        <f t="shared" si="183"/>
        <v>0</v>
      </c>
      <c r="AA195" s="161">
        <f t="shared" si="183"/>
        <v>0</v>
      </c>
      <c r="AB195" s="161">
        <f t="shared" si="183"/>
        <v>0</v>
      </c>
      <c r="AC195" s="161">
        <f t="shared" si="181"/>
        <v>0</v>
      </c>
      <c r="AD195" s="161">
        <f t="shared" si="182"/>
        <v>0</v>
      </c>
      <c r="AE195" s="161">
        <f t="shared" si="183"/>
        <v>0</v>
      </c>
      <c r="AF195" s="174">
        <f t="shared" si="18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4"/>
        <v>0</v>
      </c>
      <c r="D196" s="161">
        <f t="shared" si="184"/>
        <v>0</v>
      </c>
      <c r="E196" s="161">
        <f t="shared" si="184"/>
        <v>0</v>
      </c>
      <c r="F196" s="161">
        <f t="shared" si="184"/>
        <v>0</v>
      </c>
      <c r="G196" s="161">
        <f t="shared" si="184"/>
        <v>0</v>
      </c>
      <c r="H196" s="161">
        <f t="shared" si="184"/>
        <v>0</v>
      </c>
      <c r="I196" s="161">
        <f t="shared" si="184"/>
        <v>0</v>
      </c>
      <c r="J196" s="161">
        <f t="shared" si="184"/>
        <v>0</v>
      </c>
      <c r="K196" s="161">
        <f t="shared" si="184"/>
        <v>0</v>
      </c>
      <c r="L196" s="161">
        <f t="shared" si="184"/>
        <v>0</v>
      </c>
      <c r="M196" s="161">
        <f t="shared" si="178"/>
        <v>0</v>
      </c>
      <c r="N196" s="161">
        <f t="shared" si="178"/>
        <v>0</v>
      </c>
      <c r="O196" s="161">
        <f t="shared" si="178"/>
        <v>0</v>
      </c>
      <c r="P196" s="161">
        <f t="shared" si="178"/>
        <v>0</v>
      </c>
      <c r="Q196" s="161">
        <f t="shared" si="179"/>
        <v>0</v>
      </c>
      <c r="R196" s="161">
        <f t="shared" si="179"/>
        <v>0</v>
      </c>
      <c r="S196" s="161">
        <f t="shared" si="183"/>
        <v>0</v>
      </c>
      <c r="T196" s="161">
        <f t="shared" si="183"/>
        <v>0</v>
      </c>
      <c r="U196" s="161">
        <f t="shared" si="183"/>
        <v>0</v>
      </c>
      <c r="V196" s="161">
        <f t="shared" si="183"/>
        <v>0</v>
      </c>
      <c r="W196" s="161">
        <f t="shared" si="183"/>
        <v>0</v>
      </c>
      <c r="X196" s="161">
        <f t="shared" si="183"/>
        <v>0</v>
      </c>
      <c r="Y196" s="161">
        <f t="shared" si="183"/>
        <v>0</v>
      </c>
      <c r="Z196" s="161">
        <f t="shared" si="183"/>
        <v>0</v>
      </c>
      <c r="AA196" s="161">
        <f t="shared" si="183"/>
        <v>0</v>
      </c>
      <c r="AB196" s="161">
        <f t="shared" si="183"/>
        <v>0</v>
      </c>
      <c r="AC196" s="161">
        <f t="shared" si="181"/>
        <v>0</v>
      </c>
      <c r="AD196" s="161">
        <f t="shared" si="182"/>
        <v>0</v>
      </c>
      <c r="AE196" s="161">
        <f t="shared" si="183"/>
        <v>0</v>
      </c>
      <c r="AF196" s="174">
        <f t="shared" si="18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4"/>
        <v>0</v>
      </c>
      <c r="D197" s="161">
        <f t="shared" si="184"/>
        <v>0</v>
      </c>
      <c r="E197" s="161">
        <f t="shared" si="184"/>
        <v>0</v>
      </c>
      <c r="F197" s="161">
        <f t="shared" si="184"/>
        <v>0</v>
      </c>
      <c r="G197" s="161">
        <f t="shared" si="184"/>
        <v>0</v>
      </c>
      <c r="H197" s="161">
        <f t="shared" si="184"/>
        <v>0</v>
      </c>
      <c r="I197" s="161">
        <f t="shared" si="184"/>
        <v>0</v>
      </c>
      <c r="J197" s="161">
        <f t="shared" si="184"/>
        <v>0</v>
      </c>
      <c r="K197" s="161">
        <f t="shared" si="184"/>
        <v>0</v>
      </c>
      <c r="L197" s="161">
        <f t="shared" si="184"/>
        <v>0</v>
      </c>
      <c r="M197" s="161">
        <f t="shared" si="178"/>
        <v>0</v>
      </c>
      <c r="N197" s="161">
        <f t="shared" si="178"/>
        <v>0</v>
      </c>
      <c r="O197" s="161">
        <f t="shared" si="178"/>
        <v>0</v>
      </c>
      <c r="P197" s="161">
        <f t="shared" si="178"/>
        <v>0</v>
      </c>
      <c r="Q197" s="161">
        <f t="shared" si="179"/>
        <v>0</v>
      </c>
      <c r="R197" s="161">
        <f t="shared" si="179"/>
        <v>0</v>
      </c>
      <c r="S197" s="161">
        <f t="shared" si="183"/>
        <v>0</v>
      </c>
      <c r="T197" s="161">
        <f t="shared" si="183"/>
        <v>0</v>
      </c>
      <c r="U197" s="161">
        <f t="shared" si="183"/>
        <v>0</v>
      </c>
      <c r="V197" s="161">
        <f t="shared" si="183"/>
        <v>0</v>
      </c>
      <c r="W197" s="161">
        <f t="shared" si="183"/>
        <v>0</v>
      </c>
      <c r="X197" s="161">
        <f t="shared" si="183"/>
        <v>0</v>
      </c>
      <c r="Y197" s="161">
        <f t="shared" si="183"/>
        <v>0</v>
      </c>
      <c r="Z197" s="161">
        <f t="shared" si="183"/>
        <v>0</v>
      </c>
      <c r="AA197" s="161">
        <f t="shared" si="183"/>
        <v>0</v>
      </c>
      <c r="AB197" s="161">
        <f t="shared" si="183"/>
        <v>0</v>
      </c>
      <c r="AC197" s="161">
        <f t="shared" si="181"/>
        <v>0</v>
      </c>
      <c r="AD197" s="161">
        <f t="shared" si="182"/>
        <v>0</v>
      </c>
      <c r="AE197" s="161">
        <f t="shared" si="183"/>
        <v>0</v>
      </c>
      <c r="AF197" s="174">
        <f t="shared" si="18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4"/>
        <v>0</v>
      </c>
      <c r="D198" s="161">
        <f t="shared" si="184"/>
        <v>0</v>
      </c>
      <c r="E198" s="161">
        <f t="shared" si="184"/>
        <v>0</v>
      </c>
      <c r="F198" s="161">
        <f t="shared" si="184"/>
        <v>0</v>
      </c>
      <c r="G198" s="161">
        <f t="shared" si="184"/>
        <v>0</v>
      </c>
      <c r="H198" s="161">
        <f t="shared" si="184"/>
        <v>0</v>
      </c>
      <c r="I198" s="161">
        <f t="shared" si="184"/>
        <v>0</v>
      </c>
      <c r="J198" s="161">
        <f t="shared" si="184"/>
        <v>0</v>
      </c>
      <c r="K198" s="161">
        <f t="shared" si="184"/>
        <v>0</v>
      </c>
      <c r="L198" s="161">
        <f t="shared" si="184"/>
        <v>0</v>
      </c>
      <c r="M198" s="161">
        <f t="shared" si="178"/>
        <v>0</v>
      </c>
      <c r="N198" s="161">
        <f t="shared" si="178"/>
        <v>0</v>
      </c>
      <c r="O198" s="161">
        <f t="shared" si="178"/>
        <v>0</v>
      </c>
      <c r="P198" s="161">
        <f t="shared" si="178"/>
        <v>0</v>
      </c>
      <c r="Q198" s="161">
        <f t="shared" si="179"/>
        <v>0</v>
      </c>
      <c r="R198" s="161">
        <f t="shared" si="179"/>
        <v>0</v>
      </c>
      <c r="S198" s="161">
        <f t="shared" si="183"/>
        <v>0</v>
      </c>
      <c r="T198" s="161">
        <f t="shared" si="183"/>
        <v>0</v>
      </c>
      <c r="U198" s="161">
        <f t="shared" si="183"/>
        <v>0</v>
      </c>
      <c r="V198" s="161">
        <f t="shared" si="183"/>
        <v>0</v>
      </c>
      <c r="W198" s="161">
        <f t="shared" si="183"/>
        <v>0</v>
      </c>
      <c r="X198" s="161">
        <f t="shared" si="183"/>
        <v>0</v>
      </c>
      <c r="Y198" s="161">
        <f t="shared" si="183"/>
        <v>0</v>
      </c>
      <c r="Z198" s="161">
        <f t="shared" si="183"/>
        <v>0</v>
      </c>
      <c r="AA198" s="161">
        <f t="shared" si="183"/>
        <v>0</v>
      </c>
      <c r="AB198" s="161">
        <f t="shared" si="183"/>
        <v>0</v>
      </c>
      <c r="AC198" s="161">
        <f t="shared" si="181"/>
        <v>0</v>
      </c>
      <c r="AD198" s="161">
        <f t="shared" si="182"/>
        <v>0</v>
      </c>
      <c r="AE198" s="161">
        <f t="shared" si="183"/>
        <v>0</v>
      </c>
      <c r="AF198" s="174">
        <f t="shared" si="18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4"/>
        <v>0</v>
      </c>
      <c r="D199" s="161">
        <f t="shared" si="184"/>
        <v>0</v>
      </c>
      <c r="E199" s="161">
        <f t="shared" si="184"/>
        <v>0</v>
      </c>
      <c r="F199" s="161">
        <f t="shared" si="184"/>
        <v>0</v>
      </c>
      <c r="G199" s="161">
        <f t="shared" si="184"/>
        <v>0</v>
      </c>
      <c r="H199" s="161">
        <f t="shared" si="184"/>
        <v>0</v>
      </c>
      <c r="I199" s="161">
        <f t="shared" si="184"/>
        <v>0</v>
      </c>
      <c r="J199" s="161">
        <f t="shared" si="184"/>
        <v>0</v>
      </c>
      <c r="K199" s="161">
        <f t="shared" si="184"/>
        <v>0</v>
      </c>
      <c r="L199" s="161">
        <f t="shared" si="184"/>
        <v>0</v>
      </c>
      <c r="M199" s="161">
        <f t="shared" si="178"/>
        <v>0</v>
      </c>
      <c r="N199" s="161">
        <f t="shared" si="178"/>
        <v>0</v>
      </c>
      <c r="O199" s="161">
        <f t="shared" si="178"/>
        <v>0</v>
      </c>
      <c r="P199" s="161">
        <f t="shared" si="178"/>
        <v>0</v>
      </c>
      <c r="Q199" s="161">
        <f t="shared" si="179"/>
        <v>0</v>
      </c>
      <c r="R199" s="161">
        <f t="shared" si="179"/>
        <v>0</v>
      </c>
      <c r="S199" s="161">
        <f t="shared" si="183"/>
        <v>0</v>
      </c>
      <c r="T199" s="161">
        <f t="shared" si="183"/>
        <v>0</v>
      </c>
      <c r="U199" s="161">
        <f t="shared" si="183"/>
        <v>0</v>
      </c>
      <c r="V199" s="161">
        <f t="shared" si="183"/>
        <v>0</v>
      </c>
      <c r="W199" s="161">
        <f t="shared" si="183"/>
        <v>0</v>
      </c>
      <c r="X199" s="161">
        <f t="shared" si="183"/>
        <v>0</v>
      </c>
      <c r="Y199" s="161">
        <f t="shared" si="183"/>
        <v>0</v>
      </c>
      <c r="Z199" s="161">
        <f t="shared" si="183"/>
        <v>0</v>
      </c>
      <c r="AA199" s="161">
        <f t="shared" si="183"/>
        <v>0</v>
      </c>
      <c r="AB199" s="161">
        <f t="shared" si="183"/>
        <v>0</v>
      </c>
      <c r="AC199" s="161">
        <f t="shared" si="181"/>
        <v>0</v>
      </c>
      <c r="AD199" s="161">
        <f t="shared" si="182"/>
        <v>0</v>
      </c>
      <c r="AE199" s="161">
        <f t="shared" si="183"/>
        <v>0</v>
      </c>
      <c r="AF199" s="174">
        <f t="shared" si="18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4"/>
        <v>0</v>
      </c>
      <c r="D200" s="161">
        <f t="shared" si="184"/>
        <v>0</v>
      </c>
      <c r="E200" s="161">
        <f t="shared" si="184"/>
        <v>0</v>
      </c>
      <c r="F200" s="161">
        <f t="shared" si="184"/>
        <v>0</v>
      </c>
      <c r="G200" s="161">
        <f t="shared" si="184"/>
        <v>0</v>
      </c>
      <c r="H200" s="161">
        <f t="shared" si="184"/>
        <v>0</v>
      </c>
      <c r="I200" s="161">
        <f t="shared" si="184"/>
        <v>0</v>
      </c>
      <c r="J200" s="161">
        <f t="shared" si="184"/>
        <v>0</v>
      </c>
      <c r="K200" s="161">
        <f t="shared" si="184"/>
        <v>0</v>
      </c>
      <c r="L200" s="161">
        <f t="shared" si="184"/>
        <v>0</v>
      </c>
      <c r="M200" s="161">
        <f t="shared" si="178"/>
        <v>0</v>
      </c>
      <c r="N200" s="161">
        <f t="shared" si="178"/>
        <v>0</v>
      </c>
      <c r="O200" s="161">
        <f t="shared" si="178"/>
        <v>0</v>
      </c>
      <c r="P200" s="161">
        <f t="shared" si="178"/>
        <v>0</v>
      </c>
      <c r="Q200" s="161">
        <f t="shared" si="179"/>
        <v>0</v>
      </c>
      <c r="R200" s="161">
        <f t="shared" si="179"/>
        <v>0</v>
      </c>
      <c r="S200" s="161">
        <f t="shared" ref="R200:AF215" si="185">R200</f>
        <v>0</v>
      </c>
      <c r="T200" s="161">
        <f t="shared" si="185"/>
        <v>0</v>
      </c>
      <c r="U200" s="161">
        <f t="shared" si="185"/>
        <v>0</v>
      </c>
      <c r="V200" s="161">
        <f t="shared" si="185"/>
        <v>0</v>
      </c>
      <c r="W200" s="161">
        <f t="shared" si="185"/>
        <v>0</v>
      </c>
      <c r="X200" s="161">
        <f t="shared" si="185"/>
        <v>0</v>
      </c>
      <c r="Y200" s="161">
        <f t="shared" si="185"/>
        <v>0</v>
      </c>
      <c r="Z200" s="161">
        <f t="shared" si="185"/>
        <v>0</v>
      </c>
      <c r="AA200" s="161">
        <f t="shared" si="185"/>
        <v>0</v>
      </c>
      <c r="AB200" s="161">
        <f t="shared" si="185"/>
        <v>0</v>
      </c>
      <c r="AC200" s="161">
        <f t="shared" si="181"/>
        <v>0</v>
      </c>
      <c r="AD200" s="161">
        <f t="shared" si="182"/>
        <v>0</v>
      </c>
      <c r="AE200" s="161">
        <f t="shared" si="185"/>
        <v>0</v>
      </c>
      <c r="AF200" s="174">
        <f t="shared" si="18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6">B201</f>
        <v>0</v>
      </c>
      <c r="D201" s="161">
        <f t="shared" si="186"/>
        <v>0</v>
      </c>
      <c r="E201" s="161">
        <f t="shared" si="186"/>
        <v>0</v>
      </c>
      <c r="F201" s="161">
        <f t="shared" si="186"/>
        <v>0</v>
      </c>
      <c r="G201" s="161">
        <f t="shared" si="186"/>
        <v>0</v>
      </c>
      <c r="H201" s="161">
        <f t="shared" si="186"/>
        <v>0</v>
      </c>
      <c r="I201" s="161">
        <f t="shared" si="186"/>
        <v>0</v>
      </c>
      <c r="J201" s="161">
        <f t="shared" si="186"/>
        <v>0</v>
      </c>
      <c r="K201" s="161">
        <f t="shared" si="186"/>
        <v>0</v>
      </c>
      <c r="L201" s="161">
        <f t="shared" si="186"/>
        <v>0</v>
      </c>
      <c r="M201" s="161">
        <f t="shared" si="178"/>
        <v>0</v>
      </c>
      <c r="N201" s="161">
        <f t="shared" si="178"/>
        <v>0</v>
      </c>
      <c r="O201" s="161">
        <f t="shared" si="178"/>
        <v>0</v>
      </c>
      <c r="P201" s="161">
        <f t="shared" si="178"/>
        <v>0</v>
      </c>
      <c r="Q201" s="161">
        <f t="shared" si="179"/>
        <v>0</v>
      </c>
      <c r="R201" s="161">
        <f t="shared" si="179"/>
        <v>0</v>
      </c>
      <c r="S201" s="161">
        <f t="shared" si="185"/>
        <v>0</v>
      </c>
      <c r="T201" s="161">
        <f t="shared" si="185"/>
        <v>0</v>
      </c>
      <c r="U201" s="161">
        <f t="shared" si="185"/>
        <v>0</v>
      </c>
      <c r="V201" s="161">
        <f t="shared" si="185"/>
        <v>0</v>
      </c>
      <c r="W201" s="161">
        <f t="shared" si="185"/>
        <v>0</v>
      </c>
      <c r="X201" s="161">
        <f t="shared" si="185"/>
        <v>0</v>
      </c>
      <c r="Y201" s="161">
        <f t="shared" si="185"/>
        <v>0</v>
      </c>
      <c r="Z201" s="161">
        <f t="shared" si="185"/>
        <v>0</v>
      </c>
      <c r="AA201" s="161">
        <f t="shared" si="185"/>
        <v>0</v>
      </c>
      <c r="AB201" s="161">
        <f t="shared" si="185"/>
        <v>0</v>
      </c>
      <c r="AC201" s="161">
        <f t="shared" si="181"/>
        <v>0</v>
      </c>
      <c r="AD201" s="161">
        <f t="shared" si="182"/>
        <v>0</v>
      </c>
      <c r="AE201" s="161">
        <f t="shared" si="185"/>
        <v>0</v>
      </c>
      <c r="AF201" s="174">
        <f t="shared" si="18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6"/>
        <v>0</v>
      </c>
      <c r="D202" s="161">
        <f t="shared" si="186"/>
        <v>0</v>
      </c>
      <c r="E202" s="161">
        <f t="shared" si="186"/>
        <v>0</v>
      </c>
      <c r="F202" s="161">
        <f t="shared" si="186"/>
        <v>0</v>
      </c>
      <c r="G202" s="161">
        <f t="shared" si="186"/>
        <v>0</v>
      </c>
      <c r="H202" s="161">
        <f t="shared" si="186"/>
        <v>0</v>
      </c>
      <c r="I202" s="161">
        <f t="shared" si="186"/>
        <v>0</v>
      </c>
      <c r="J202" s="161">
        <f t="shared" si="186"/>
        <v>0</v>
      </c>
      <c r="K202" s="161">
        <f t="shared" si="186"/>
        <v>0</v>
      </c>
      <c r="L202" s="161">
        <f t="shared" si="186"/>
        <v>0</v>
      </c>
      <c r="M202" s="161">
        <f t="shared" si="178"/>
        <v>0</v>
      </c>
      <c r="N202" s="161">
        <f t="shared" si="178"/>
        <v>0</v>
      </c>
      <c r="O202" s="161">
        <f t="shared" si="178"/>
        <v>0</v>
      </c>
      <c r="P202" s="161">
        <f t="shared" si="178"/>
        <v>0</v>
      </c>
      <c r="Q202" s="161">
        <f t="shared" si="179"/>
        <v>0</v>
      </c>
      <c r="R202" s="161">
        <f t="shared" si="179"/>
        <v>0</v>
      </c>
      <c r="S202" s="161">
        <f t="shared" si="185"/>
        <v>0</v>
      </c>
      <c r="T202" s="161">
        <f t="shared" si="185"/>
        <v>0</v>
      </c>
      <c r="U202" s="161">
        <f t="shared" si="185"/>
        <v>0</v>
      </c>
      <c r="V202" s="161">
        <f t="shared" si="185"/>
        <v>0</v>
      </c>
      <c r="W202" s="161">
        <f t="shared" si="185"/>
        <v>0</v>
      </c>
      <c r="X202" s="161">
        <f t="shared" si="185"/>
        <v>0</v>
      </c>
      <c r="Y202" s="161">
        <f t="shared" si="185"/>
        <v>0</v>
      </c>
      <c r="Z202" s="161">
        <f t="shared" si="185"/>
        <v>0</v>
      </c>
      <c r="AA202" s="161">
        <f t="shared" si="185"/>
        <v>0</v>
      </c>
      <c r="AB202" s="161">
        <f t="shared" si="185"/>
        <v>0</v>
      </c>
      <c r="AC202" s="161">
        <f t="shared" si="181"/>
        <v>0</v>
      </c>
      <c r="AD202" s="161">
        <f t="shared" si="182"/>
        <v>0</v>
      </c>
      <c r="AE202" s="161">
        <f t="shared" si="185"/>
        <v>0</v>
      </c>
      <c r="AF202" s="174">
        <f t="shared" si="18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6"/>
        <v>0</v>
      </c>
      <c r="D203" s="161">
        <f t="shared" si="186"/>
        <v>0</v>
      </c>
      <c r="E203" s="161">
        <f t="shared" si="186"/>
        <v>0</v>
      </c>
      <c r="F203" s="161">
        <f t="shared" si="186"/>
        <v>0</v>
      </c>
      <c r="G203" s="161">
        <f t="shared" si="186"/>
        <v>0</v>
      </c>
      <c r="H203" s="161">
        <f t="shared" si="186"/>
        <v>0</v>
      </c>
      <c r="I203" s="161">
        <f t="shared" si="186"/>
        <v>0</v>
      </c>
      <c r="J203" s="161">
        <f t="shared" si="186"/>
        <v>0</v>
      </c>
      <c r="K203" s="161">
        <f t="shared" si="186"/>
        <v>0</v>
      </c>
      <c r="L203" s="161">
        <f t="shared" si="186"/>
        <v>0</v>
      </c>
      <c r="M203" s="161">
        <f t="shared" si="178"/>
        <v>0</v>
      </c>
      <c r="N203" s="161">
        <f t="shared" si="178"/>
        <v>0</v>
      </c>
      <c r="O203" s="161">
        <f t="shared" si="178"/>
        <v>0</v>
      </c>
      <c r="P203" s="161">
        <f t="shared" si="178"/>
        <v>0</v>
      </c>
      <c r="Q203" s="161">
        <f t="shared" si="179"/>
        <v>0</v>
      </c>
      <c r="R203" s="161">
        <f t="shared" si="179"/>
        <v>0</v>
      </c>
      <c r="S203" s="161">
        <f t="shared" si="185"/>
        <v>0</v>
      </c>
      <c r="T203" s="161">
        <f t="shared" si="185"/>
        <v>0</v>
      </c>
      <c r="U203" s="161">
        <f t="shared" si="185"/>
        <v>0</v>
      </c>
      <c r="V203" s="161">
        <f t="shared" si="185"/>
        <v>0</v>
      </c>
      <c r="W203" s="161">
        <f t="shared" si="185"/>
        <v>0</v>
      </c>
      <c r="X203" s="161">
        <f t="shared" si="185"/>
        <v>0</v>
      </c>
      <c r="Y203" s="161">
        <f t="shared" si="185"/>
        <v>0</v>
      </c>
      <c r="Z203" s="161">
        <f t="shared" si="185"/>
        <v>0</v>
      </c>
      <c r="AA203" s="161">
        <f t="shared" si="185"/>
        <v>0</v>
      </c>
      <c r="AB203" s="161">
        <f t="shared" si="185"/>
        <v>0</v>
      </c>
      <c r="AC203" s="161">
        <f t="shared" si="181"/>
        <v>0</v>
      </c>
      <c r="AD203" s="161">
        <f t="shared" si="182"/>
        <v>0</v>
      </c>
      <c r="AE203" s="161">
        <f t="shared" si="185"/>
        <v>0</v>
      </c>
      <c r="AF203" s="174">
        <f t="shared" si="18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6"/>
        <v>0</v>
      </c>
      <c r="D204" s="161">
        <f t="shared" si="186"/>
        <v>0</v>
      </c>
      <c r="E204" s="161">
        <f t="shared" si="186"/>
        <v>0</v>
      </c>
      <c r="F204" s="161">
        <f t="shared" si="186"/>
        <v>0</v>
      </c>
      <c r="G204" s="161">
        <f t="shared" si="186"/>
        <v>0</v>
      </c>
      <c r="H204" s="161">
        <f t="shared" si="186"/>
        <v>0</v>
      </c>
      <c r="I204" s="161">
        <f t="shared" si="186"/>
        <v>0</v>
      </c>
      <c r="J204" s="161">
        <f t="shared" si="186"/>
        <v>0</v>
      </c>
      <c r="K204" s="161">
        <f t="shared" si="186"/>
        <v>0</v>
      </c>
      <c r="L204" s="161">
        <f t="shared" si="186"/>
        <v>0</v>
      </c>
      <c r="M204" s="161">
        <f t="shared" si="178"/>
        <v>0</v>
      </c>
      <c r="N204" s="161">
        <f t="shared" si="178"/>
        <v>0</v>
      </c>
      <c r="O204" s="161">
        <f t="shared" si="178"/>
        <v>0</v>
      </c>
      <c r="P204" s="161">
        <f t="shared" si="178"/>
        <v>0</v>
      </c>
      <c r="Q204" s="161">
        <f t="shared" si="179"/>
        <v>0</v>
      </c>
      <c r="R204" s="161">
        <f t="shared" si="179"/>
        <v>0</v>
      </c>
      <c r="S204" s="161">
        <f t="shared" si="185"/>
        <v>0</v>
      </c>
      <c r="T204" s="161">
        <f t="shared" si="185"/>
        <v>0</v>
      </c>
      <c r="U204" s="161">
        <f t="shared" si="185"/>
        <v>0</v>
      </c>
      <c r="V204" s="161">
        <f t="shared" si="185"/>
        <v>0</v>
      </c>
      <c r="W204" s="161">
        <f t="shared" si="185"/>
        <v>0</v>
      </c>
      <c r="X204" s="161">
        <f t="shared" si="185"/>
        <v>0</v>
      </c>
      <c r="Y204" s="161">
        <f t="shared" si="185"/>
        <v>0</v>
      </c>
      <c r="Z204" s="161">
        <f t="shared" si="185"/>
        <v>0</v>
      </c>
      <c r="AA204" s="161">
        <f t="shared" si="185"/>
        <v>0</v>
      </c>
      <c r="AB204" s="161">
        <f t="shared" si="185"/>
        <v>0</v>
      </c>
      <c r="AC204" s="161">
        <f t="shared" si="181"/>
        <v>0</v>
      </c>
      <c r="AD204" s="161">
        <f t="shared" si="182"/>
        <v>0</v>
      </c>
      <c r="AE204" s="161">
        <f t="shared" si="185"/>
        <v>0</v>
      </c>
      <c r="AF204" s="174">
        <f t="shared" si="18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6"/>
        <v>0</v>
      </c>
      <c r="D205" s="161">
        <f t="shared" si="186"/>
        <v>0</v>
      </c>
      <c r="E205" s="161">
        <f t="shared" si="186"/>
        <v>0</v>
      </c>
      <c r="F205" s="161">
        <f t="shared" si="186"/>
        <v>0</v>
      </c>
      <c r="G205" s="161">
        <f t="shared" si="186"/>
        <v>0</v>
      </c>
      <c r="H205" s="161">
        <f t="shared" si="186"/>
        <v>0</v>
      </c>
      <c r="I205" s="161">
        <f t="shared" si="186"/>
        <v>0</v>
      </c>
      <c r="J205" s="161">
        <f t="shared" si="186"/>
        <v>0</v>
      </c>
      <c r="K205" s="161">
        <f t="shared" si="186"/>
        <v>0</v>
      </c>
      <c r="L205" s="161">
        <f t="shared" si="186"/>
        <v>0</v>
      </c>
      <c r="M205" s="161">
        <f t="shared" si="178"/>
        <v>0</v>
      </c>
      <c r="N205" s="161">
        <f t="shared" si="178"/>
        <v>0</v>
      </c>
      <c r="O205" s="161">
        <f t="shared" si="178"/>
        <v>0</v>
      </c>
      <c r="P205" s="161">
        <f t="shared" si="178"/>
        <v>0</v>
      </c>
      <c r="Q205" s="161">
        <f t="shared" si="179"/>
        <v>0</v>
      </c>
      <c r="R205" s="161">
        <f t="shared" si="179"/>
        <v>0</v>
      </c>
      <c r="S205" s="161">
        <f t="shared" si="185"/>
        <v>0</v>
      </c>
      <c r="T205" s="161">
        <f t="shared" si="185"/>
        <v>0</v>
      </c>
      <c r="U205" s="161">
        <f t="shared" si="185"/>
        <v>0</v>
      </c>
      <c r="V205" s="161">
        <f t="shared" si="185"/>
        <v>0</v>
      </c>
      <c r="W205" s="161">
        <f t="shared" si="185"/>
        <v>0</v>
      </c>
      <c r="X205" s="161">
        <f t="shared" si="185"/>
        <v>0</v>
      </c>
      <c r="Y205" s="161">
        <f t="shared" si="185"/>
        <v>0</v>
      </c>
      <c r="Z205" s="161">
        <f t="shared" si="185"/>
        <v>0</v>
      </c>
      <c r="AA205" s="161">
        <f t="shared" si="185"/>
        <v>0</v>
      </c>
      <c r="AB205" s="161">
        <f t="shared" si="185"/>
        <v>0</v>
      </c>
      <c r="AC205" s="161">
        <f t="shared" si="181"/>
        <v>0</v>
      </c>
      <c r="AD205" s="161">
        <f t="shared" si="182"/>
        <v>0</v>
      </c>
      <c r="AE205" s="161">
        <f t="shared" si="185"/>
        <v>0</v>
      </c>
      <c r="AF205" s="174">
        <f t="shared" si="18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6"/>
        <v>0</v>
      </c>
      <c r="D206" s="161">
        <f t="shared" si="186"/>
        <v>0</v>
      </c>
      <c r="E206" s="161">
        <f t="shared" si="186"/>
        <v>0</v>
      </c>
      <c r="F206" s="161">
        <f t="shared" si="186"/>
        <v>0</v>
      </c>
      <c r="G206" s="161">
        <f t="shared" si="186"/>
        <v>0</v>
      </c>
      <c r="H206" s="161">
        <f t="shared" si="186"/>
        <v>0</v>
      </c>
      <c r="I206" s="161">
        <f t="shared" si="186"/>
        <v>0</v>
      </c>
      <c r="J206" s="161">
        <f t="shared" si="186"/>
        <v>0</v>
      </c>
      <c r="K206" s="161">
        <f t="shared" si="186"/>
        <v>0</v>
      </c>
      <c r="L206" s="161">
        <f t="shared" si="186"/>
        <v>0</v>
      </c>
      <c r="M206" s="161">
        <f t="shared" si="178"/>
        <v>0</v>
      </c>
      <c r="N206" s="161">
        <f t="shared" si="178"/>
        <v>0</v>
      </c>
      <c r="O206" s="161">
        <f t="shared" si="178"/>
        <v>0</v>
      </c>
      <c r="P206" s="161">
        <f t="shared" si="178"/>
        <v>0</v>
      </c>
      <c r="Q206" s="161">
        <f t="shared" si="179"/>
        <v>0</v>
      </c>
      <c r="R206" s="161">
        <f t="shared" si="179"/>
        <v>0</v>
      </c>
      <c r="S206" s="161">
        <f t="shared" si="185"/>
        <v>0</v>
      </c>
      <c r="T206" s="161">
        <f t="shared" si="185"/>
        <v>0</v>
      </c>
      <c r="U206" s="161">
        <f t="shared" si="185"/>
        <v>0</v>
      </c>
      <c r="V206" s="161">
        <f t="shared" si="185"/>
        <v>0</v>
      </c>
      <c r="W206" s="161">
        <f t="shared" si="185"/>
        <v>0</v>
      </c>
      <c r="X206" s="161">
        <f t="shared" si="185"/>
        <v>0</v>
      </c>
      <c r="Y206" s="161">
        <f t="shared" si="185"/>
        <v>0</v>
      </c>
      <c r="Z206" s="161">
        <f t="shared" si="185"/>
        <v>0</v>
      </c>
      <c r="AA206" s="161">
        <f t="shared" si="185"/>
        <v>0</v>
      </c>
      <c r="AB206" s="161">
        <f t="shared" si="185"/>
        <v>0</v>
      </c>
      <c r="AC206" s="161">
        <f t="shared" si="181"/>
        <v>0</v>
      </c>
      <c r="AD206" s="161">
        <f t="shared" si="182"/>
        <v>0</v>
      </c>
      <c r="AE206" s="161">
        <f t="shared" si="185"/>
        <v>0</v>
      </c>
      <c r="AF206" s="174">
        <f t="shared" si="18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6"/>
        <v>0</v>
      </c>
      <c r="D207" s="161">
        <f t="shared" si="186"/>
        <v>0</v>
      </c>
      <c r="E207" s="161">
        <f t="shared" si="186"/>
        <v>0</v>
      </c>
      <c r="F207" s="161">
        <f t="shared" si="186"/>
        <v>0</v>
      </c>
      <c r="G207" s="161">
        <f t="shared" si="186"/>
        <v>0</v>
      </c>
      <c r="H207" s="161">
        <f t="shared" si="186"/>
        <v>0</v>
      </c>
      <c r="I207" s="161">
        <f t="shared" si="186"/>
        <v>0</v>
      </c>
      <c r="J207" s="161">
        <f t="shared" si="186"/>
        <v>0</v>
      </c>
      <c r="K207" s="161">
        <f t="shared" si="186"/>
        <v>0</v>
      </c>
      <c r="L207" s="161">
        <f t="shared" si="186"/>
        <v>0</v>
      </c>
      <c r="M207" s="161">
        <f t="shared" si="178"/>
        <v>0</v>
      </c>
      <c r="N207" s="161">
        <f t="shared" si="178"/>
        <v>0</v>
      </c>
      <c r="O207" s="161">
        <f t="shared" si="178"/>
        <v>0</v>
      </c>
      <c r="P207" s="161">
        <f t="shared" si="178"/>
        <v>0</v>
      </c>
      <c r="Q207" s="161">
        <f t="shared" si="179"/>
        <v>0</v>
      </c>
      <c r="R207" s="161">
        <f t="shared" si="179"/>
        <v>0</v>
      </c>
      <c r="S207" s="161">
        <f t="shared" si="185"/>
        <v>0</v>
      </c>
      <c r="T207" s="161">
        <f t="shared" si="185"/>
        <v>0</v>
      </c>
      <c r="U207" s="161">
        <f t="shared" si="185"/>
        <v>0</v>
      </c>
      <c r="V207" s="161">
        <f t="shared" si="185"/>
        <v>0</v>
      </c>
      <c r="W207" s="161">
        <f t="shared" si="185"/>
        <v>0</v>
      </c>
      <c r="X207" s="161">
        <f t="shared" si="185"/>
        <v>0</v>
      </c>
      <c r="Y207" s="161">
        <f t="shared" si="185"/>
        <v>0</v>
      </c>
      <c r="Z207" s="161">
        <f t="shared" si="185"/>
        <v>0</v>
      </c>
      <c r="AA207" s="161">
        <f t="shared" si="185"/>
        <v>0</v>
      </c>
      <c r="AB207" s="161">
        <f t="shared" si="185"/>
        <v>0</v>
      </c>
      <c r="AC207" s="161">
        <f t="shared" si="181"/>
        <v>0</v>
      </c>
      <c r="AD207" s="161">
        <f t="shared" si="182"/>
        <v>0</v>
      </c>
      <c r="AE207" s="161">
        <f t="shared" si="185"/>
        <v>0</v>
      </c>
      <c r="AF207" s="174">
        <f t="shared" si="18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6"/>
        <v>0</v>
      </c>
      <c r="D208" s="161">
        <f t="shared" si="186"/>
        <v>0</v>
      </c>
      <c r="E208" s="161">
        <f t="shared" si="186"/>
        <v>0</v>
      </c>
      <c r="F208" s="161">
        <f t="shared" si="186"/>
        <v>0</v>
      </c>
      <c r="G208" s="161">
        <f t="shared" si="186"/>
        <v>0</v>
      </c>
      <c r="H208" s="161">
        <f t="shared" si="186"/>
        <v>0</v>
      </c>
      <c r="I208" s="161">
        <f t="shared" si="186"/>
        <v>0</v>
      </c>
      <c r="J208" s="161">
        <f t="shared" si="186"/>
        <v>0</v>
      </c>
      <c r="K208" s="161">
        <f t="shared" si="186"/>
        <v>0</v>
      </c>
      <c r="L208" s="161">
        <f t="shared" si="186"/>
        <v>0</v>
      </c>
      <c r="M208" s="161">
        <f t="shared" si="178"/>
        <v>0</v>
      </c>
      <c r="N208" s="161">
        <f t="shared" si="178"/>
        <v>0</v>
      </c>
      <c r="O208" s="161">
        <f t="shared" si="178"/>
        <v>0</v>
      </c>
      <c r="P208" s="161">
        <f t="shared" si="178"/>
        <v>0</v>
      </c>
      <c r="Q208" s="161">
        <f t="shared" si="179"/>
        <v>0</v>
      </c>
      <c r="R208" s="161">
        <f t="shared" si="179"/>
        <v>0</v>
      </c>
      <c r="S208" s="161">
        <f t="shared" si="185"/>
        <v>0</v>
      </c>
      <c r="T208" s="161">
        <f t="shared" si="185"/>
        <v>0</v>
      </c>
      <c r="U208" s="161">
        <f t="shared" si="185"/>
        <v>0</v>
      </c>
      <c r="V208" s="161">
        <f t="shared" si="185"/>
        <v>0</v>
      </c>
      <c r="W208" s="161">
        <f t="shared" si="185"/>
        <v>0</v>
      </c>
      <c r="X208" s="161">
        <f t="shared" si="185"/>
        <v>0</v>
      </c>
      <c r="Y208" s="161">
        <f t="shared" si="185"/>
        <v>0</v>
      </c>
      <c r="Z208" s="161">
        <f t="shared" si="185"/>
        <v>0</v>
      </c>
      <c r="AA208" s="161">
        <f t="shared" si="185"/>
        <v>0</v>
      </c>
      <c r="AB208" s="161">
        <f t="shared" si="185"/>
        <v>0</v>
      </c>
      <c r="AC208" s="161">
        <f t="shared" si="181"/>
        <v>0</v>
      </c>
      <c r="AD208" s="161">
        <f t="shared" si="182"/>
        <v>0</v>
      </c>
      <c r="AE208" s="161">
        <f t="shared" si="185"/>
        <v>0</v>
      </c>
      <c r="AF208" s="174">
        <f t="shared" si="18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6"/>
        <v>0</v>
      </c>
      <c r="D209" s="161">
        <f t="shared" si="186"/>
        <v>0</v>
      </c>
      <c r="E209" s="161">
        <f t="shared" si="186"/>
        <v>0</v>
      </c>
      <c r="F209" s="161">
        <f t="shared" si="186"/>
        <v>0</v>
      </c>
      <c r="G209" s="161">
        <f t="shared" si="186"/>
        <v>0</v>
      </c>
      <c r="H209" s="161">
        <f t="shared" si="186"/>
        <v>0</v>
      </c>
      <c r="I209" s="161">
        <f t="shared" si="186"/>
        <v>0</v>
      </c>
      <c r="J209" s="161">
        <f t="shared" si="186"/>
        <v>0</v>
      </c>
      <c r="K209" s="161">
        <f t="shared" si="186"/>
        <v>0</v>
      </c>
      <c r="L209" s="161">
        <f t="shared" si="186"/>
        <v>0</v>
      </c>
      <c r="M209" s="161">
        <f t="shared" si="178"/>
        <v>0</v>
      </c>
      <c r="N209" s="161">
        <f t="shared" si="178"/>
        <v>0</v>
      </c>
      <c r="O209" s="161">
        <f t="shared" si="178"/>
        <v>0</v>
      </c>
      <c r="P209" s="161">
        <f t="shared" si="178"/>
        <v>0</v>
      </c>
      <c r="Q209" s="161">
        <f t="shared" si="179"/>
        <v>0</v>
      </c>
      <c r="R209" s="161">
        <f t="shared" si="179"/>
        <v>0</v>
      </c>
      <c r="S209" s="161">
        <f t="shared" si="185"/>
        <v>0</v>
      </c>
      <c r="T209" s="161">
        <f t="shared" si="185"/>
        <v>0</v>
      </c>
      <c r="U209" s="161">
        <f t="shared" si="185"/>
        <v>0</v>
      </c>
      <c r="V209" s="161">
        <f t="shared" si="185"/>
        <v>0</v>
      </c>
      <c r="W209" s="161">
        <f t="shared" si="185"/>
        <v>0</v>
      </c>
      <c r="X209" s="161">
        <f t="shared" si="185"/>
        <v>0</v>
      </c>
      <c r="Y209" s="161">
        <f t="shared" si="185"/>
        <v>0</v>
      </c>
      <c r="Z209" s="161">
        <f t="shared" si="185"/>
        <v>0</v>
      </c>
      <c r="AA209" s="161">
        <f t="shared" si="185"/>
        <v>0</v>
      </c>
      <c r="AB209" s="161">
        <f t="shared" si="185"/>
        <v>0</v>
      </c>
      <c r="AC209" s="161">
        <f t="shared" si="181"/>
        <v>0</v>
      </c>
      <c r="AD209" s="161">
        <f t="shared" si="182"/>
        <v>0</v>
      </c>
      <c r="AE209" s="161">
        <f t="shared" si="185"/>
        <v>0</v>
      </c>
      <c r="AF209" s="174">
        <f t="shared" si="18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6"/>
        <v>0</v>
      </c>
      <c r="D210" s="161">
        <f t="shared" si="186"/>
        <v>0</v>
      </c>
      <c r="E210" s="161">
        <f t="shared" si="186"/>
        <v>0</v>
      </c>
      <c r="F210" s="161">
        <f t="shared" si="186"/>
        <v>0</v>
      </c>
      <c r="G210" s="161">
        <f t="shared" si="186"/>
        <v>0</v>
      </c>
      <c r="H210" s="161">
        <f t="shared" si="186"/>
        <v>0</v>
      </c>
      <c r="I210" s="161">
        <f t="shared" si="186"/>
        <v>0</v>
      </c>
      <c r="J210" s="161">
        <f t="shared" si="186"/>
        <v>0</v>
      </c>
      <c r="K210" s="161">
        <f t="shared" si="186"/>
        <v>0</v>
      </c>
      <c r="L210" s="161">
        <f t="shared" si="186"/>
        <v>0</v>
      </c>
      <c r="M210" s="161">
        <f t="shared" si="178"/>
        <v>0</v>
      </c>
      <c r="N210" s="161">
        <f t="shared" si="178"/>
        <v>0</v>
      </c>
      <c r="O210" s="161">
        <f t="shared" si="178"/>
        <v>0</v>
      </c>
      <c r="P210" s="161">
        <f t="shared" si="178"/>
        <v>0</v>
      </c>
      <c r="Q210" s="161">
        <f t="shared" si="179"/>
        <v>0</v>
      </c>
      <c r="R210" s="161">
        <f t="shared" si="179"/>
        <v>0</v>
      </c>
      <c r="S210" s="161">
        <f t="shared" si="185"/>
        <v>0</v>
      </c>
      <c r="T210" s="161">
        <f t="shared" si="185"/>
        <v>0</v>
      </c>
      <c r="U210" s="161">
        <f t="shared" si="185"/>
        <v>0</v>
      </c>
      <c r="V210" s="161">
        <f t="shared" si="185"/>
        <v>0</v>
      </c>
      <c r="W210" s="161">
        <f t="shared" si="185"/>
        <v>0</v>
      </c>
      <c r="X210" s="161">
        <f t="shared" si="185"/>
        <v>0</v>
      </c>
      <c r="Y210" s="161">
        <f t="shared" si="185"/>
        <v>0</v>
      </c>
      <c r="Z210" s="161">
        <f t="shared" si="185"/>
        <v>0</v>
      </c>
      <c r="AA210" s="161">
        <f t="shared" si="185"/>
        <v>0</v>
      </c>
      <c r="AB210" s="161">
        <f t="shared" si="185"/>
        <v>0</v>
      </c>
      <c r="AC210" s="161">
        <f t="shared" si="181"/>
        <v>0</v>
      </c>
      <c r="AD210" s="161">
        <f t="shared" si="182"/>
        <v>0</v>
      </c>
      <c r="AE210" s="161">
        <f t="shared" si="185"/>
        <v>0</v>
      </c>
      <c r="AF210" s="174">
        <f t="shared" si="18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6"/>
        <v>0</v>
      </c>
      <c r="D211" s="161">
        <f t="shared" si="186"/>
        <v>0</v>
      </c>
      <c r="E211" s="161">
        <f t="shared" si="186"/>
        <v>0</v>
      </c>
      <c r="F211" s="161">
        <f t="shared" si="186"/>
        <v>0</v>
      </c>
      <c r="G211" s="161">
        <f t="shared" si="186"/>
        <v>0</v>
      </c>
      <c r="H211" s="161">
        <f t="shared" si="186"/>
        <v>0</v>
      </c>
      <c r="I211" s="161">
        <f t="shared" si="186"/>
        <v>0</v>
      </c>
      <c r="J211" s="161">
        <f t="shared" si="186"/>
        <v>0</v>
      </c>
      <c r="K211" s="161">
        <f t="shared" si="186"/>
        <v>0</v>
      </c>
      <c r="L211" s="161">
        <f t="shared" si="186"/>
        <v>0</v>
      </c>
      <c r="M211" s="161">
        <f t="shared" si="178"/>
        <v>0</v>
      </c>
      <c r="N211" s="161">
        <f t="shared" si="178"/>
        <v>0</v>
      </c>
      <c r="O211" s="161">
        <f t="shared" si="178"/>
        <v>0</v>
      </c>
      <c r="P211" s="161">
        <f t="shared" si="178"/>
        <v>0</v>
      </c>
      <c r="Q211" s="161">
        <f t="shared" si="179"/>
        <v>0</v>
      </c>
      <c r="R211" s="161">
        <f t="shared" si="179"/>
        <v>0</v>
      </c>
      <c r="S211" s="161">
        <f t="shared" si="185"/>
        <v>0</v>
      </c>
      <c r="T211" s="161">
        <f t="shared" si="185"/>
        <v>0</v>
      </c>
      <c r="U211" s="161">
        <f t="shared" si="185"/>
        <v>0</v>
      </c>
      <c r="V211" s="161">
        <f t="shared" si="185"/>
        <v>0</v>
      </c>
      <c r="W211" s="161">
        <f t="shared" si="185"/>
        <v>0</v>
      </c>
      <c r="X211" s="161">
        <f t="shared" si="185"/>
        <v>0</v>
      </c>
      <c r="Y211" s="161">
        <f t="shared" si="185"/>
        <v>0</v>
      </c>
      <c r="Z211" s="161">
        <f t="shared" si="185"/>
        <v>0</v>
      </c>
      <c r="AA211" s="161">
        <f t="shared" si="185"/>
        <v>0</v>
      </c>
      <c r="AB211" s="161">
        <f t="shared" si="185"/>
        <v>0</v>
      </c>
      <c r="AC211" s="161">
        <f t="shared" si="185"/>
        <v>0</v>
      </c>
      <c r="AD211" s="161">
        <f t="shared" si="185"/>
        <v>0</v>
      </c>
      <c r="AE211" s="161">
        <f t="shared" si="185"/>
        <v>0</v>
      </c>
      <c r="AF211" s="174">
        <f t="shared" si="18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6"/>
        <v>0</v>
      </c>
      <c r="D212" s="161">
        <f t="shared" si="186"/>
        <v>0</v>
      </c>
      <c r="E212" s="161">
        <f t="shared" si="186"/>
        <v>0</v>
      </c>
      <c r="F212" s="161">
        <f t="shared" si="186"/>
        <v>0</v>
      </c>
      <c r="G212" s="161">
        <f t="shared" si="186"/>
        <v>0</v>
      </c>
      <c r="H212" s="161">
        <f t="shared" si="186"/>
        <v>0</v>
      </c>
      <c r="I212" s="161">
        <f t="shared" si="186"/>
        <v>0</v>
      </c>
      <c r="J212" s="161">
        <f t="shared" si="186"/>
        <v>0</v>
      </c>
      <c r="K212" s="161">
        <f t="shared" si="186"/>
        <v>0</v>
      </c>
      <c r="L212" s="161">
        <f t="shared" si="186"/>
        <v>0</v>
      </c>
      <c r="M212" s="161">
        <f t="shared" si="178"/>
        <v>0</v>
      </c>
      <c r="N212" s="161">
        <f t="shared" si="178"/>
        <v>0</v>
      </c>
      <c r="O212" s="161">
        <f t="shared" si="178"/>
        <v>0</v>
      </c>
      <c r="P212" s="161">
        <f t="shared" si="178"/>
        <v>0</v>
      </c>
      <c r="Q212" s="161">
        <f t="shared" si="179"/>
        <v>0</v>
      </c>
      <c r="R212" s="161">
        <f t="shared" si="179"/>
        <v>0</v>
      </c>
      <c r="S212" s="161">
        <f t="shared" si="185"/>
        <v>0</v>
      </c>
      <c r="T212" s="161">
        <f t="shared" si="185"/>
        <v>0</v>
      </c>
      <c r="U212" s="161">
        <f t="shared" si="185"/>
        <v>0</v>
      </c>
      <c r="V212" s="161">
        <f t="shared" si="185"/>
        <v>0</v>
      </c>
      <c r="W212" s="161">
        <f t="shared" si="185"/>
        <v>0</v>
      </c>
      <c r="X212" s="161">
        <f t="shared" si="185"/>
        <v>0</v>
      </c>
      <c r="Y212" s="161">
        <f t="shared" si="185"/>
        <v>0</v>
      </c>
      <c r="Z212" s="161">
        <f t="shared" si="185"/>
        <v>0</v>
      </c>
      <c r="AA212" s="161">
        <f t="shared" si="185"/>
        <v>0</v>
      </c>
      <c r="AB212" s="161">
        <f t="shared" si="185"/>
        <v>0</v>
      </c>
      <c r="AC212" s="161">
        <f t="shared" si="185"/>
        <v>0</v>
      </c>
      <c r="AD212" s="161">
        <f t="shared" si="185"/>
        <v>0</v>
      </c>
      <c r="AE212" s="161">
        <f t="shared" si="185"/>
        <v>0</v>
      </c>
      <c r="AF212" s="174">
        <f t="shared" si="18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6"/>
        <v>0</v>
      </c>
      <c r="D213" s="161">
        <f t="shared" si="186"/>
        <v>0</v>
      </c>
      <c r="E213" s="161">
        <f t="shared" si="186"/>
        <v>0</v>
      </c>
      <c r="F213" s="161">
        <f t="shared" si="186"/>
        <v>0</v>
      </c>
      <c r="G213" s="161">
        <f t="shared" si="186"/>
        <v>0</v>
      </c>
      <c r="H213" s="161">
        <f t="shared" si="186"/>
        <v>0</v>
      </c>
      <c r="I213" s="161">
        <f t="shared" si="186"/>
        <v>0</v>
      </c>
      <c r="J213" s="161">
        <f t="shared" si="186"/>
        <v>0</v>
      </c>
      <c r="K213" s="161">
        <f t="shared" si="186"/>
        <v>0</v>
      </c>
      <c r="L213" s="161">
        <f t="shared" si="186"/>
        <v>0</v>
      </c>
      <c r="M213" s="161">
        <f t="shared" si="178"/>
        <v>0</v>
      </c>
      <c r="N213" s="161">
        <f t="shared" si="178"/>
        <v>0</v>
      </c>
      <c r="O213" s="161">
        <f t="shared" si="178"/>
        <v>0</v>
      </c>
      <c r="P213" s="161">
        <f t="shared" si="178"/>
        <v>0</v>
      </c>
      <c r="Q213" s="161">
        <f t="shared" si="179"/>
        <v>0</v>
      </c>
      <c r="R213" s="161">
        <f t="shared" si="179"/>
        <v>0</v>
      </c>
      <c r="S213" s="161">
        <f t="shared" si="185"/>
        <v>0</v>
      </c>
      <c r="T213" s="161">
        <f t="shared" si="185"/>
        <v>0</v>
      </c>
      <c r="U213" s="161">
        <f t="shared" si="185"/>
        <v>0</v>
      </c>
      <c r="V213" s="161">
        <f t="shared" si="185"/>
        <v>0</v>
      </c>
      <c r="W213" s="161">
        <f t="shared" si="185"/>
        <v>0</v>
      </c>
      <c r="X213" s="161">
        <f t="shared" si="185"/>
        <v>0</v>
      </c>
      <c r="Y213" s="161">
        <f t="shared" si="185"/>
        <v>0</v>
      </c>
      <c r="Z213" s="161">
        <f t="shared" si="185"/>
        <v>0</v>
      </c>
      <c r="AA213" s="161">
        <f t="shared" si="185"/>
        <v>0</v>
      </c>
      <c r="AB213" s="161">
        <f t="shared" si="185"/>
        <v>0</v>
      </c>
      <c r="AC213" s="161">
        <f t="shared" si="185"/>
        <v>0</v>
      </c>
      <c r="AD213" s="161">
        <f t="shared" si="185"/>
        <v>0</v>
      </c>
      <c r="AE213" s="161">
        <f t="shared" si="185"/>
        <v>0</v>
      </c>
      <c r="AF213" s="174">
        <f t="shared" si="18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6"/>
        <v>0</v>
      </c>
      <c r="D214" s="161">
        <f t="shared" si="186"/>
        <v>0</v>
      </c>
      <c r="E214" s="161">
        <f t="shared" si="186"/>
        <v>0</v>
      </c>
      <c r="F214" s="161">
        <f t="shared" si="186"/>
        <v>0</v>
      </c>
      <c r="G214" s="161">
        <f t="shared" si="186"/>
        <v>0</v>
      </c>
      <c r="H214" s="161">
        <f t="shared" si="186"/>
        <v>0</v>
      </c>
      <c r="I214" s="161">
        <f t="shared" si="186"/>
        <v>0</v>
      </c>
      <c r="J214" s="161">
        <f t="shared" si="186"/>
        <v>0</v>
      </c>
      <c r="K214" s="161">
        <f t="shared" si="186"/>
        <v>0</v>
      </c>
      <c r="L214" s="161">
        <f t="shared" si="186"/>
        <v>0</v>
      </c>
      <c r="M214" s="161">
        <f t="shared" si="178"/>
        <v>0</v>
      </c>
      <c r="N214" s="161">
        <f t="shared" si="178"/>
        <v>0</v>
      </c>
      <c r="O214" s="161">
        <f t="shared" si="178"/>
        <v>0</v>
      </c>
      <c r="P214" s="161">
        <f t="shared" si="178"/>
        <v>0</v>
      </c>
      <c r="Q214" s="161">
        <f t="shared" si="179"/>
        <v>0</v>
      </c>
      <c r="R214" s="161">
        <f t="shared" si="179"/>
        <v>0</v>
      </c>
      <c r="S214" s="161">
        <f t="shared" si="185"/>
        <v>0</v>
      </c>
      <c r="T214" s="161">
        <f t="shared" si="185"/>
        <v>0</v>
      </c>
      <c r="U214" s="161">
        <f t="shared" si="185"/>
        <v>0</v>
      </c>
      <c r="V214" s="161">
        <f t="shared" si="185"/>
        <v>0</v>
      </c>
      <c r="W214" s="161">
        <f t="shared" si="185"/>
        <v>0</v>
      </c>
      <c r="X214" s="161">
        <f t="shared" si="185"/>
        <v>0</v>
      </c>
      <c r="Y214" s="161">
        <f t="shared" si="185"/>
        <v>0</v>
      </c>
      <c r="Z214" s="161">
        <f t="shared" si="185"/>
        <v>0</v>
      </c>
      <c r="AA214" s="161">
        <f t="shared" si="185"/>
        <v>0</v>
      </c>
      <c r="AB214" s="161">
        <f t="shared" si="185"/>
        <v>0</v>
      </c>
      <c r="AC214" s="161">
        <f t="shared" si="185"/>
        <v>0</v>
      </c>
      <c r="AD214" s="161">
        <f t="shared" si="185"/>
        <v>0</v>
      </c>
      <c r="AE214" s="161">
        <f t="shared" si="185"/>
        <v>0</v>
      </c>
      <c r="AF214" s="174">
        <f t="shared" si="18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6"/>
        <v>0</v>
      </c>
      <c r="D215" s="161">
        <f t="shared" si="186"/>
        <v>0</v>
      </c>
      <c r="E215" s="161">
        <f t="shared" si="186"/>
        <v>0</v>
      </c>
      <c r="F215" s="161">
        <f t="shared" si="186"/>
        <v>0</v>
      </c>
      <c r="G215" s="161">
        <f t="shared" si="186"/>
        <v>0</v>
      </c>
      <c r="H215" s="161">
        <f t="shared" si="186"/>
        <v>0</v>
      </c>
      <c r="I215" s="161">
        <f t="shared" si="186"/>
        <v>0</v>
      </c>
      <c r="J215" s="161">
        <f t="shared" si="186"/>
        <v>0</v>
      </c>
      <c r="K215" s="161">
        <f t="shared" si="186"/>
        <v>0</v>
      </c>
      <c r="L215" s="161">
        <f t="shared" si="186"/>
        <v>0</v>
      </c>
      <c r="M215" s="161">
        <f t="shared" si="178"/>
        <v>0</v>
      </c>
      <c r="N215" s="161">
        <f t="shared" si="178"/>
        <v>0</v>
      </c>
      <c r="O215" s="161">
        <f t="shared" si="178"/>
        <v>0</v>
      </c>
      <c r="P215" s="161">
        <f t="shared" si="178"/>
        <v>0</v>
      </c>
      <c r="Q215" s="161">
        <f t="shared" si="179"/>
        <v>0</v>
      </c>
      <c r="R215" s="161">
        <f t="shared" si="179"/>
        <v>0</v>
      </c>
      <c r="S215" s="161">
        <f t="shared" si="185"/>
        <v>0</v>
      </c>
      <c r="T215" s="161">
        <f t="shared" si="185"/>
        <v>0</v>
      </c>
      <c r="U215" s="161">
        <f t="shared" si="185"/>
        <v>0</v>
      </c>
      <c r="V215" s="161">
        <f t="shared" si="185"/>
        <v>0</v>
      </c>
      <c r="W215" s="161">
        <f t="shared" si="185"/>
        <v>0</v>
      </c>
      <c r="X215" s="161">
        <f t="shared" si="185"/>
        <v>0</v>
      </c>
      <c r="Y215" s="161">
        <f t="shared" si="185"/>
        <v>0</v>
      </c>
      <c r="Z215" s="161">
        <f t="shared" si="185"/>
        <v>0</v>
      </c>
      <c r="AA215" s="161">
        <f t="shared" si="185"/>
        <v>0</v>
      </c>
      <c r="AB215" s="161">
        <f t="shared" si="185"/>
        <v>0</v>
      </c>
      <c r="AC215" s="161">
        <f t="shared" si="185"/>
        <v>0</v>
      </c>
      <c r="AD215" s="161">
        <f t="shared" si="185"/>
        <v>0</v>
      </c>
      <c r="AE215" s="161">
        <f t="shared" si="185"/>
        <v>0</v>
      </c>
      <c r="AF215" s="174">
        <f t="shared" si="18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6"/>
        <v>0</v>
      </c>
      <c r="D216" s="161">
        <f t="shared" si="186"/>
        <v>0</v>
      </c>
      <c r="E216" s="161">
        <f t="shared" si="186"/>
        <v>0</v>
      </c>
      <c r="F216" s="161">
        <f t="shared" si="186"/>
        <v>0</v>
      </c>
      <c r="G216" s="161">
        <f t="shared" si="186"/>
        <v>0</v>
      </c>
      <c r="H216" s="161">
        <f t="shared" si="186"/>
        <v>0</v>
      </c>
      <c r="I216" s="161">
        <f t="shared" si="186"/>
        <v>0</v>
      </c>
      <c r="J216" s="161">
        <f t="shared" si="186"/>
        <v>0</v>
      </c>
      <c r="K216" s="161">
        <f t="shared" si="186"/>
        <v>0</v>
      </c>
      <c r="L216" s="161">
        <f t="shared" si="186"/>
        <v>0</v>
      </c>
      <c r="M216" s="161">
        <f t="shared" si="178"/>
        <v>0</v>
      </c>
      <c r="N216" s="161">
        <f t="shared" si="178"/>
        <v>0</v>
      </c>
      <c r="O216" s="161">
        <f t="shared" si="178"/>
        <v>0</v>
      </c>
      <c r="P216" s="161">
        <f t="shared" si="178"/>
        <v>0</v>
      </c>
      <c r="Q216" s="161">
        <f t="shared" si="179"/>
        <v>0</v>
      </c>
      <c r="R216" s="161">
        <f t="shared" si="179"/>
        <v>0</v>
      </c>
      <c r="S216" s="161">
        <f t="shared" ref="R216:AF231" si="187">R216</f>
        <v>0</v>
      </c>
      <c r="T216" s="161">
        <f t="shared" si="187"/>
        <v>0</v>
      </c>
      <c r="U216" s="161">
        <f t="shared" si="187"/>
        <v>0</v>
      </c>
      <c r="V216" s="161">
        <f t="shared" si="187"/>
        <v>0</v>
      </c>
      <c r="W216" s="161">
        <f t="shared" si="187"/>
        <v>0</v>
      </c>
      <c r="X216" s="161">
        <f t="shared" si="187"/>
        <v>0</v>
      </c>
      <c r="Y216" s="161">
        <f t="shared" si="187"/>
        <v>0</v>
      </c>
      <c r="Z216" s="161">
        <f t="shared" si="187"/>
        <v>0</v>
      </c>
      <c r="AA216" s="161">
        <f t="shared" si="187"/>
        <v>0</v>
      </c>
      <c r="AB216" s="161">
        <f t="shared" si="187"/>
        <v>0</v>
      </c>
      <c r="AC216" s="161">
        <f t="shared" si="187"/>
        <v>0</v>
      </c>
      <c r="AD216" s="161">
        <f t="shared" si="187"/>
        <v>0</v>
      </c>
      <c r="AE216" s="161">
        <f t="shared" si="187"/>
        <v>0</v>
      </c>
      <c r="AF216" s="174">
        <f t="shared" si="18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8">B217</f>
        <v>0</v>
      </c>
      <c r="D217" s="161">
        <f t="shared" si="188"/>
        <v>0</v>
      </c>
      <c r="E217" s="161">
        <f t="shared" si="188"/>
        <v>0</v>
      </c>
      <c r="F217" s="161">
        <f t="shared" si="188"/>
        <v>0</v>
      </c>
      <c r="G217" s="161">
        <f t="shared" si="188"/>
        <v>0</v>
      </c>
      <c r="H217" s="161">
        <f t="shared" si="188"/>
        <v>0</v>
      </c>
      <c r="I217" s="161">
        <f t="shared" si="188"/>
        <v>0</v>
      </c>
      <c r="J217" s="161">
        <f t="shared" si="188"/>
        <v>0</v>
      </c>
      <c r="K217" s="161">
        <f t="shared" si="188"/>
        <v>0</v>
      </c>
      <c r="L217" s="161">
        <f t="shared" si="188"/>
        <v>0</v>
      </c>
      <c r="M217" s="161">
        <f t="shared" si="178"/>
        <v>0</v>
      </c>
      <c r="N217" s="161">
        <f t="shared" si="178"/>
        <v>0</v>
      </c>
      <c r="O217" s="161">
        <f t="shared" si="178"/>
        <v>0</v>
      </c>
      <c r="P217" s="161">
        <f t="shared" si="178"/>
        <v>0</v>
      </c>
      <c r="Q217" s="161">
        <f t="shared" si="179"/>
        <v>0</v>
      </c>
      <c r="R217" s="161">
        <f t="shared" si="179"/>
        <v>0</v>
      </c>
      <c r="S217" s="161">
        <f t="shared" si="187"/>
        <v>0</v>
      </c>
      <c r="T217" s="161">
        <f t="shared" si="187"/>
        <v>0</v>
      </c>
      <c r="U217" s="161">
        <f t="shared" si="187"/>
        <v>0</v>
      </c>
      <c r="V217" s="161">
        <f t="shared" si="187"/>
        <v>0</v>
      </c>
      <c r="W217" s="161">
        <f t="shared" si="187"/>
        <v>0</v>
      </c>
      <c r="X217" s="161">
        <f t="shared" si="187"/>
        <v>0</v>
      </c>
      <c r="Y217" s="161">
        <f t="shared" si="187"/>
        <v>0</v>
      </c>
      <c r="Z217" s="161">
        <f t="shared" si="187"/>
        <v>0</v>
      </c>
      <c r="AA217" s="161">
        <f t="shared" si="187"/>
        <v>0</v>
      </c>
      <c r="AB217" s="161">
        <f t="shared" si="187"/>
        <v>0</v>
      </c>
      <c r="AC217" s="161">
        <f t="shared" si="187"/>
        <v>0</v>
      </c>
      <c r="AD217" s="161">
        <f t="shared" si="187"/>
        <v>0</v>
      </c>
      <c r="AE217" s="161">
        <f t="shared" si="187"/>
        <v>0</v>
      </c>
      <c r="AF217" s="174">
        <f t="shared" si="18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8"/>
        <v>0</v>
      </c>
      <c r="D218" s="161">
        <f t="shared" si="188"/>
        <v>0</v>
      </c>
      <c r="E218" s="161">
        <f t="shared" si="188"/>
        <v>0</v>
      </c>
      <c r="F218" s="161">
        <f t="shared" si="188"/>
        <v>0</v>
      </c>
      <c r="G218" s="161">
        <f t="shared" si="188"/>
        <v>0</v>
      </c>
      <c r="H218" s="161">
        <f t="shared" si="188"/>
        <v>0</v>
      </c>
      <c r="I218" s="161">
        <f t="shared" si="188"/>
        <v>0</v>
      </c>
      <c r="J218" s="161">
        <f t="shared" si="188"/>
        <v>0</v>
      </c>
      <c r="K218" s="161">
        <f t="shared" si="188"/>
        <v>0</v>
      </c>
      <c r="L218" s="161">
        <f t="shared" si="188"/>
        <v>0</v>
      </c>
      <c r="M218" s="161">
        <f t="shared" si="178"/>
        <v>0</v>
      </c>
      <c r="N218" s="161">
        <f t="shared" si="178"/>
        <v>0</v>
      </c>
      <c r="O218" s="161">
        <f t="shared" si="178"/>
        <v>0</v>
      </c>
      <c r="P218" s="161">
        <f t="shared" si="178"/>
        <v>0</v>
      </c>
      <c r="Q218" s="161">
        <f t="shared" si="179"/>
        <v>0</v>
      </c>
      <c r="R218" s="161">
        <f t="shared" si="179"/>
        <v>0</v>
      </c>
      <c r="S218" s="161">
        <f t="shared" si="187"/>
        <v>0</v>
      </c>
      <c r="T218" s="161">
        <f t="shared" si="187"/>
        <v>0</v>
      </c>
      <c r="U218" s="161">
        <f t="shared" si="187"/>
        <v>0</v>
      </c>
      <c r="V218" s="161">
        <f t="shared" si="187"/>
        <v>0</v>
      </c>
      <c r="W218" s="161">
        <f t="shared" si="187"/>
        <v>0</v>
      </c>
      <c r="X218" s="161">
        <f t="shared" si="187"/>
        <v>0</v>
      </c>
      <c r="Y218" s="161">
        <f t="shared" si="187"/>
        <v>0</v>
      </c>
      <c r="Z218" s="161">
        <f t="shared" si="187"/>
        <v>0</v>
      </c>
      <c r="AA218" s="161">
        <f t="shared" si="187"/>
        <v>0</v>
      </c>
      <c r="AB218" s="161">
        <f t="shared" si="187"/>
        <v>0</v>
      </c>
      <c r="AC218" s="161">
        <f t="shared" si="187"/>
        <v>0</v>
      </c>
      <c r="AD218" s="161">
        <f t="shared" si="187"/>
        <v>0</v>
      </c>
      <c r="AE218" s="161">
        <f t="shared" si="187"/>
        <v>0</v>
      </c>
      <c r="AF218" s="174">
        <f t="shared" si="18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8"/>
        <v>0</v>
      </c>
      <c r="D219" s="161">
        <f t="shared" si="188"/>
        <v>0</v>
      </c>
      <c r="E219" s="161">
        <f t="shared" si="188"/>
        <v>0</v>
      </c>
      <c r="F219" s="161">
        <f t="shared" si="188"/>
        <v>0</v>
      </c>
      <c r="G219" s="161">
        <f t="shared" si="188"/>
        <v>0</v>
      </c>
      <c r="H219" s="161">
        <f t="shared" si="188"/>
        <v>0</v>
      </c>
      <c r="I219" s="161">
        <f t="shared" si="188"/>
        <v>0</v>
      </c>
      <c r="J219" s="161">
        <f t="shared" si="188"/>
        <v>0</v>
      </c>
      <c r="K219" s="161">
        <f t="shared" si="188"/>
        <v>0</v>
      </c>
      <c r="L219" s="161">
        <f t="shared" si="188"/>
        <v>0</v>
      </c>
      <c r="M219" s="161">
        <f t="shared" si="178"/>
        <v>0</v>
      </c>
      <c r="N219" s="161">
        <f t="shared" si="178"/>
        <v>0</v>
      </c>
      <c r="O219" s="161">
        <f t="shared" si="178"/>
        <v>0</v>
      </c>
      <c r="P219" s="161">
        <f t="shared" si="178"/>
        <v>0</v>
      </c>
      <c r="Q219" s="161">
        <f t="shared" si="179"/>
        <v>0</v>
      </c>
      <c r="R219" s="161">
        <f t="shared" si="179"/>
        <v>0</v>
      </c>
      <c r="S219" s="161">
        <f t="shared" si="187"/>
        <v>0</v>
      </c>
      <c r="T219" s="161">
        <f t="shared" si="187"/>
        <v>0</v>
      </c>
      <c r="U219" s="161">
        <f t="shared" si="187"/>
        <v>0</v>
      </c>
      <c r="V219" s="161">
        <f t="shared" si="187"/>
        <v>0</v>
      </c>
      <c r="W219" s="161">
        <f t="shared" si="187"/>
        <v>0</v>
      </c>
      <c r="X219" s="161">
        <f t="shared" si="187"/>
        <v>0</v>
      </c>
      <c r="Y219" s="161">
        <f t="shared" si="187"/>
        <v>0</v>
      </c>
      <c r="Z219" s="161">
        <f t="shared" si="187"/>
        <v>0</v>
      </c>
      <c r="AA219" s="161">
        <f t="shared" si="187"/>
        <v>0</v>
      </c>
      <c r="AB219" s="161">
        <f t="shared" si="187"/>
        <v>0</v>
      </c>
      <c r="AC219" s="161">
        <f t="shared" si="187"/>
        <v>0</v>
      </c>
      <c r="AD219" s="161">
        <f t="shared" si="187"/>
        <v>0</v>
      </c>
      <c r="AE219" s="161">
        <f t="shared" si="187"/>
        <v>0</v>
      </c>
      <c r="AF219" s="174">
        <f t="shared" si="18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8"/>
        <v>0</v>
      </c>
      <c r="D220" s="161">
        <f t="shared" si="188"/>
        <v>0</v>
      </c>
      <c r="E220" s="161">
        <f t="shared" si="188"/>
        <v>0</v>
      </c>
      <c r="F220" s="161">
        <f t="shared" si="188"/>
        <v>0</v>
      </c>
      <c r="G220" s="161">
        <f t="shared" si="188"/>
        <v>0</v>
      </c>
      <c r="H220" s="161">
        <f t="shared" si="188"/>
        <v>0</v>
      </c>
      <c r="I220" s="161">
        <f t="shared" si="188"/>
        <v>0</v>
      </c>
      <c r="J220" s="161">
        <f t="shared" si="188"/>
        <v>0</v>
      </c>
      <c r="K220" s="161">
        <f t="shared" si="188"/>
        <v>0</v>
      </c>
      <c r="L220" s="161">
        <f t="shared" si="188"/>
        <v>0</v>
      </c>
      <c r="M220" s="161">
        <f t="shared" si="178"/>
        <v>0</v>
      </c>
      <c r="N220" s="161">
        <f t="shared" si="178"/>
        <v>0</v>
      </c>
      <c r="O220" s="161">
        <f t="shared" si="178"/>
        <v>0</v>
      </c>
      <c r="P220" s="161">
        <f t="shared" si="178"/>
        <v>0</v>
      </c>
      <c r="Q220" s="161">
        <f t="shared" si="179"/>
        <v>0</v>
      </c>
      <c r="R220" s="161">
        <f t="shared" si="179"/>
        <v>0</v>
      </c>
      <c r="S220" s="161">
        <f t="shared" si="187"/>
        <v>0</v>
      </c>
      <c r="T220" s="161">
        <f t="shared" si="187"/>
        <v>0</v>
      </c>
      <c r="U220" s="161">
        <f t="shared" si="187"/>
        <v>0</v>
      </c>
      <c r="V220" s="161">
        <f t="shared" si="187"/>
        <v>0</v>
      </c>
      <c r="W220" s="161">
        <f t="shared" si="187"/>
        <v>0</v>
      </c>
      <c r="X220" s="161">
        <f t="shared" si="187"/>
        <v>0</v>
      </c>
      <c r="Y220" s="161">
        <f t="shared" si="187"/>
        <v>0</v>
      </c>
      <c r="Z220" s="161">
        <f t="shared" si="187"/>
        <v>0</v>
      </c>
      <c r="AA220" s="161">
        <f t="shared" si="187"/>
        <v>0</v>
      </c>
      <c r="AB220" s="161">
        <f t="shared" si="187"/>
        <v>0</v>
      </c>
      <c r="AC220" s="161">
        <f t="shared" si="187"/>
        <v>0</v>
      </c>
      <c r="AD220" s="161">
        <f t="shared" si="187"/>
        <v>0</v>
      </c>
      <c r="AE220" s="161">
        <f t="shared" si="187"/>
        <v>0</v>
      </c>
      <c r="AF220" s="174">
        <f t="shared" si="18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8"/>
        <v>0</v>
      </c>
      <c r="D221" s="161">
        <f t="shared" si="188"/>
        <v>0</v>
      </c>
      <c r="E221" s="161">
        <f t="shared" si="188"/>
        <v>0</v>
      </c>
      <c r="F221" s="161">
        <f t="shared" si="188"/>
        <v>0</v>
      </c>
      <c r="G221" s="161">
        <f t="shared" si="188"/>
        <v>0</v>
      </c>
      <c r="H221" s="161">
        <f t="shared" si="188"/>
        <v>0</v>
      </c>
      <c r="I221" s="161">
        <f t="shared" si="188"/>
        <v>0</v>
      </c>
      <c r="J221" s="161">
        <f t="shared" si="188"/>
        <v>0</v>
      </c>
      <c r="K221" s="161">
        <f t="shared" si="188"/>
        <v>0</v>
      </c>
      <c r="L221" s="161">
        <f t="shared" si="188"/>
        <v>0</v>
      </c>
      <c r="M221" s="161">
        <f t="shared" si="178"/>
        <v>0</v>
      </c>
      <c r="N221" s="161">
        <f t="shared" si="178"/>
        <v>0</v>
      </c>
      <c r="O221" s="161">
        <f t="shared" si="178"/>
        <v>0</v>
      </c>
      <c r="P221" s="161">
        <f t="shared" si="178"/>
        <v>0</v>
      </c>
      <c r="Q221" s="161">
        <f t="shared" si="179"/>
        <v>0</v>
      </c>
      <c r="R221" s="161">
        <f t="shared" si="179"/>
        <v>0</v>
      </c>
      <c r="S221" s="161">
        <f t="shared" si="187"/>
        <v>0</v>
      </c>
      <c r="T221" s="161">
        <f t="shared" si="187"/>
        <v>0</v>
      </c>
      <c r="U221" s="161">
        <f t="shared" si="187"/>
        <v>0</v>
      </c>
      <c r="V221" s="161">
        <f t="shared" si="187"/>
        <v>0</v>
      </c>
      <c r="W221" s="161">
        <f t="shared" si="187"/>
        <v>0</v>
      </c>
      <c r="X221" s="161">
        <f t="shared" si="187"/>
        <v>0</v>
      </c>
      <c r="Y221" s="161">
        <f t="shared" si="187"/>
        <v>0</v>
      </c>
      <c r="Z221" s="161">
        <f t="shared" si="187"/>
        <v>0</v>
      </c>
      <c r="AA221" s="161">
        <f t="shared" si="187"/>
        <v>0</v>
      </c>
      <c r="AB221" s="161">
        <f t="shared" si="187"/>
        <v>0</v>
      </c>
      <c r="AC221" s="161">
        <f t="shared" si="187"/>
        <v>0</v>
      </c>
      <c r="AD221" s="161">
        <f t="shared" si="187"/>
        <v>0</v>
      </c>
      <c r="AE221" s="161">
        <f t="shared" si="187"/>
        <v>0</v>
      </c>
      <c r="AF221" s="174">
        <f t="shared" si="18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8"/>
        <v>0</v>
      </c>
      <c r="D222" s="161">
        <f t="shared" si="188"/>
        <v>0</v>
      </c>
      <c r="E222" s="161">
        <f t="shared" si="188"/>
        <v>0</v>
      </c>
      <c r="F222" s="161">
        <f t="shared" si="188"/>
        <v>0</v>
      </c>
      <c r="G222" s="161">
        <f t="shared" si="188"/>
        <v>0</v>
      </c>
      <c r="H222" s="161">
        <f t="shared" si="188"/>
        <v>0</v>
      </c>
      <c r="I222" s="161">
        <f t="shared" si="188"/>
        <v>0</v>
      </c>
      <c r="J222" s="161">
        <f t="shared" si="188"/>
        <v>0</v>
      </c>
      <c r="K222" s="161">
        <f t="shared" si="188"/>
        <v>0</v>
      </c>
      <c r="L222" s="161">
        <f t="shared" si="188"/>
        <v>0</v>
      </c>
      <c r="M222" s="161">
        <f t="shared" si="178"/>
        <v>0</v>
      </c>
      <c r="N222" s="161">
        <f t="shared" si="178"/>
        <v>0</v>
      </c>
      <c r="O222" s="161">
        <f t="shared" si="178"/>
        <v>0</v>
      </c>
      <c r="P222" s="161">
        <f t="shared" si="178"/>
        <v>0</v>
      </c>
      <c r="Q222" s="161">
        <f t="shared" si="179"/>
        <v>0</v>
      </c>
      <c r="R222" s="161">
        <f t="shared" si="179"/>
        <v>0</v>
      </c>
      <c r="S222" s="161">
        <f t="shared" si="187"/>
        <v>0</v>
      </c>
      <c r="T222" s="161">
        <f t="shared" si="187"/>
        <v>0</v>
      </c>
      <c r="U222" s="161">
        <f t="shared" si="187"/>
        <v>0</v>
      </c>
      <c r="V222" s="161">
        <f t="shared" si="187"/>
        <v>0</v>
      </c>
      <c r="W222" s="161">
        <f t="shared" si="187"/>
        <v>0</v>
      </c>
      <c r="X222" s="161">
        <f t="shared" si="187"/>
        <v>0</v>
      </c>
      <c r="Y222" s="161">
        <f t="shared" si="187"/>
        <v>0</v>
      </c>
      <c r="Z222" s="161">
        <f t="shared" si="187"/>
        <v>0</v>
      </c>
      <c r="AA222" s="161">
        <f t="shared" si="187"/>
        <v>0</v>
      </c>
      <c r="AB222" s="161">
        <f t="shared" si="187"/>
        <v>0</v>
      </c>
      <c r="AC222" s="161">
        <f t="shared" si="187"/>
        <v>0</v>
      </c>
      <c r="AD222" s="161">
        <f t="shared" si="187"/>
        <v>0</v>
      </c>
      <c r="AE222" s="161">
        <f t="shared" si="187"/>
        <v>0</v>
      </c>
      <c r="AF222" s="174">
        <f t="shared" si="18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8"/>
        <v>0</v>
      </c>
      <c r="D223" s="161">
        <f t="shared" si="188"/>
        <v>0</v>
      </c>
      <c r="E223" s="161">
        <f t="shared" si="188"/>
        <v>0</v>
      </c>
      <c r="F223" s="161">
        <f t="shared" si="188"/>
        <v>0</v>
      </c>
      <c r="G223" s="161">
        <f t="shared" si="188"/>
        <v>0</v>
      </c>
      <c r="H223" s="161">
        <f t="shared" si="188"/>
        <v>0</v>
      </c>
      <c r="I223" s="161">
        <f t="shared" si="188"/>
        <v>0</v>
      </c>
      <c r="J223" s="161">
        <f t="shared" si="188"/>
        <v>0</v>
      </c>
      <c r="K223" s="161">
        <f t="shared" si="188"/>
        <v>0</v>
      </c>
      <c r="L223" s="161">
        <f t="shared" si="188"/>
        <v>0</v>
      </c>
      <c r="M223" s="161">
        <f t="shared" si="178"/>
        <v>0</v>
      </c>
      <c r="N223" s="161">
        <f t="shared" si="178"/>
        <v>0</v>
      </c>
      <c r="O223" s="161">
        <f t="shared" si="178"/>
        <v>0</v>
      </c>
      <c r="P223" s="161">
        <f t="shared" si="178"/>
        <v>0</v>
      </c>
      <c r="Q223" s="161">
        <f t="shared" si="179"/>
        <v>0</v>
      </c>
      <c r="R223" s="161">
        <f t="shared" si="179"/>
        <v>0</v>
      </c>
      <c r="S223" s="161">
        <f t="shared" si="187"/>
        <v>0</v>
      </c>
      <c r="T223" s="161">
        <f t="shared" si="187"/>
        <v>0</v>
      </c>
      <c r="U223" s="161">
        <f t="shared" si="187"/>
        <v>0</v>
      </c>
      <c r="V223" s="161">
        <f t="shared" si="187"/>
        <v>0</v>
      </c>
      <c r="W223" s="161">
        <f t="shared" si="187"/>
        <v>0</v>
      </c>
      <c r="X223" s="161">
        <f t="shared" si="187"/>
        <v>0</v>
      </c>
      <c r="Y223" s="161">
        <f t="shared" si="187"/>
        <v>0</v>
      </c>
      <c r="Z223" s="161">
        <f t="shared" si="187"/>
        <v>0</v>
      </c>
      <c r="AA223" s="161">
        <f t="shared" si="187"/>
        <v>0</v>
      </c>
      <c r="AB223" s="161">
        <f t="shared" si="187"/>
        <v>0</v>
      </c>
      <c r="AC223" s="161">
        <f t="shared" si="187"/>
        <v>0</v>
      </c>
      <c r="AD223" s="161">
        <f t="shared" si="187"/>
        <v>0</v>
      </c>
      <c r="AE223" s="161">
        <f t="shared" si="187"/>
        <v>0</v>
      </c>
      <c r="AF223" s="174">
        <f t="shared" si="18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8"/>
        <v>0</v>
      </c>
      <c r="D224" s="161">
        <f t="shared" si="188"/>
        <v>0</v>
      </c>
      <c r="E224" s="161">
        <f t="shared" si="188"/>
        <v>0</v>
      </c>
      <c r="F224" s="161">
        <f t="shared" si="188"/>
        <v>0</v>
      </c>
      <c r="G224" s="161">
        <f t="shared" si="188"/>
        <v>0</v>
      </c>
      <c r="H224" s="161">
        <f t="shared" si="188"/>
        <v>0</v>
      </c>
      <c r="I224" s="161">
        <f t="shared" si="188"/>
        <v>0</v>
      </c>
      <c r="J224" s="161">
        <f t="shared" si="188"/>
        <v>0</v>
      </c>
      <c r="K224" s="161">
        <f t="shared" si="188"/>
        <v>0</v>
      </c>
      <c r="L224" s="161">
        <f t="shared" si="188"/>
        <v>0</v>
      </c>
      <c r="M224" s="161">
        <f t="shared" si="178"/>
        <v>0</v>
      </c>
      <c r="N224" s="161">
        <f t="shared" si="178"/>
        <v>0</v>
      </c>
      <c r="O224" s="161">
        <f t="shared" si="178"/>
        <v>0</v>
      </c>
      <c r="P224" s="161">
        <f t="shared" si="178"/>
        <v>0</v>
      </c>
      <c r="Q224" s="161">
        <f t="shared" si="179"/>
        <v>0</v>
      </c>
      <c r="R224" s="161">
        <f t="shared" si="179"/>
        <v>0</v>
      </c>
      <c r="S224" s="161">
        <f t="shared" si="187"/>
        <v>0</v>
      </c>
      <c r="T224" s="161">
        <f t="shared" si="187"/>
        <v>0</v>
      </c>
      <c r="U224" s="161">
        <f t="shared" si="187"/>
        <v>0</v>
      </c>
      <c r="V224" s="161">
        <f t="shared" si="187"/>
        <v>0</v>
      </c>
      <c r="W224" s="161">
        <f t="shared" si="187"/>
        <v>0</v>
      </c>
      <c r="X224" s="161">
        <f t="shared" si="187"/>
        <v>0</v>
      </c>
      <c r="Y224" s="161">
        <f t="shared" si="187"/>
        <v>0</v>
      </c>
      <c r="Z224" s="161">
        <f t="shared" si="187"/>
        <v>0</v>
      </c>
      <c r="AA224" s="161">
        <f t="shared" si="187"/>
        <v>0</v>
      </c>
      <c r="AB224" s="161">
        <f t="shared" si="187"/>
        <v>0</v>
      </c>
      <c r="AC224" s="161">
        <f t="shared" si="187"/>
        <v>0</v>
      </c>
      <c r="AD224" s="161">
        <f t="shared" si="187"/>
        <v>0</v>
      </c>
      <c r="AE224" s="161">
        <f t="shared" si="187"/>
        <v>0</v>
      </c>
      <c r="AF224" s="174">
        <f t="shared" si="18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8"/>
        <v>0</v>
      </c>
      <c r="D225" s="161">
        <f t="shared" si="188"/>
        <v>0</v>
      </c>
      <c r="E225" s="161">
        <f t="shared" si="188"/>
        <v>0</v>
      </c>
      <c r="F225" s="161">
        <f t="shared" si="188"/>
        <v>0</v>
      </c>
      <c r="G225" s="161">
        <f t="shared" si="188"/>
        <v>0</v>
      </c>
      <c r="H225" s="161">
        <f t="shared" si="188"/>
        <v>0</v>
      </c>
      <c r="I225" s="161">
        <f t="shared" si="188"/>
        <v>0</v>
      </c>
      <c r="J225" s="161">
        <f t="shared" si="188"/>
        <v>0</v>
      </c>
      <c r="K225" s="161">
        <f t="shared" si="188"/>
        <v>0</v>
      </c>
      <c r="L225" s="161">
        <f t="shared" si="188"/>
        <v>0</v>
      </c>
      <c r="M225" s="161">
        <f t="shared" si="178"/>
        <v>0</v>
      </c>
      <c r="N225" s="161">
        <f t="shared" si="178"/>
        <v>0</v>
      </c>
      <c r="O225" s="161">
        <f t="shared" si="178"/>
        <v>0</v>
      </c>
      <c r="P225" s="161">
        <f t="shared" si="178"/>
        <v>0</v>
      </c>
      <c r="Q225" s="161">
        <f t="shared" si="179"/>
        <v>0</v>
      </c>
      <c r="R225" s="161">
        <f t="shared" si="179"/>
        <v>0</v>
      </c>
      <c r="S225" s="161">
        <f t="shared" si="187"/>
        <v>0</v>
      </c>
      <c r="T225" s="161">
        <f t="shared" si="187"/>
        <v>0</v>
      </c>
      <c r="U225" s="161">
        <f t="shared" si="187"/>
        <v>0</v>
      </c>
      <c r="V225" s="161">
        <f t="shared" si="187"/>
        <v>0</v>
      </c>
      <c r="W225" s="161">
        <f t="shared" si="187"/>
        <v>0</v>
      </c>
      <c r="X225" s="161">
        <f t="shared" si="187"/>
        <v>0</v>
      </c>
      <c r="Y225" s="161">
        <f t="shared" si="187"/>
        <v>0</v>
      </c>
      <c r="Z225" s="161">
        <f t="shared" si="187"/>
        <v>0</v>
      </c>
      <c r="AA225" s="161">
        <f t="shared" si="187"/>
        <v>0</v>
      </c>
      <c r="AB225" s="161">
        <f t="shared" si="187"/>
        <v>0</v>
      </c>
      <c r="AC225" s="161">
        <f t="shared" si="187"/>
        <v>0</v>
      </c>
      <c r="AD225" s="161">
        <f t="shared" si="187"/>
        <v>0</v>
      </c>
      <c r="AE225" s="161">
        <f t="shared" si="187"/>
        <v>0</v>
      </c>
      <c r="AF225" s="174">
        <f t="shared" si="18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8"/>
        <v>0</v>
      </c>
      <c r="D226" s="161">
        <f t="shared" si="188"/>
        <v>0</v>
      </c>
      <c r="E226" s="161">
        <f t="shared" si="188"/>
        <v>0</v>
      </c>
      <c r="F226" s="161">
        <f t="shared" si="188"/>
        <v>0</v>
      </c>
      <c r="G226" s="161">
        <f t="shared" si="188"/>
        <v>0</v>
      </c>
      <c r="H226" s="161">
        <f t="shared" si="188"/>
        <v>0</v>
      </c>
      <c r="I226" s="161">
        <f t="shared" si="188"/>
        <v>0</v>
      </c>
      <c r="J226" s="161">
        <f t="shared" si="188"/>
        <v>0</v>
      </c>
      <c r="K226" s="161">
        <f t="shared" si="188"/>
        <v>0</v>
      </c>
      <c r="L226" s="161">
        <f t="shared" si="188"/>
        <v>0</v>
      </c>
      <c r="M226" s="161">
        <f t="shared" si="178"/>
        <v>0</v>
      </c>
      <c r="N226" s="161">
        <f t="shared" si="178"/>
        <v>0</v>
      </c>
      <c r="O226" s="161">
        <f t="shared" si="178"/>
        <v>0</v>
      </c>
      <c r="P226" s="161">
        <f t="shared" si="178"/>
        <v>0</v>
      </c>
      <c r="Q226" s="161">
        <f t="shared" si="179"/>
        <v>0</v>
      </c>
      <c r="R226" s="161">
        <f t="shared" si="179"/>
        <v>0</v>
      </c>
      <c r="S226" s="161">
        <f t="shared" si="187"/>
        <v>0</v>
      </c>
      <c r="T226" s="161">
        <f t="shared" si="187"/>
        <v>0</v>
      </c>
      <c r="U226" s="161">
        <f t="shared" si="187"/>
        <v>0</v>
      </c>
      <c r="V226" s="161">
        <f t="shared" si="187"/>
        <v>0</v>
      </c>
      <c r="W226" s="161">
        <f t="shared" si="187"/>
        <v>0</v>
      </c>
      <c r="X226" s="161">
        <f t="shared" si="187"/>
        <v>0</v>
      </c>
      <c r="Y226" s="161">
        <f t="shared" si="187"/>
        <v>0</v>
      </c>
      <c r="Z226" s="161">
        <f t="shared" si="187"/>
        <v>0</v>
      </c>
      <c r="AA226" s="161">
        <f t="shared" si="187"/>
        <v>0</v>
      </c>
      <c r="AB226" s="161">
        <f t="shared" si="187"/>
        <v>0</v>
      </c>
      <c r="AC226" s="161">
        <f t="shared" si="187"/>
        <v>0</v>
      </c>
      <c r="AD226" s="161">
        <f t="shared" si="187"/>
        <v>0</v>
      </c>
      <c r="AE226" s="161">
        <f t="shared" si="187"/>
        <v>0</v>
      </c>
      <c r="AF226" s="174">
        <f t="shared" si="18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8"/>
        <v>0</v>
      </c>
      <c r="D227" s="161">
        <f t="shared" si="188"/>
        <v>0</v>
      </c>
      <c r="E227" s="161">
        <f t="shared" si="188"/>
        <v>0</v>
      </c>
      <c r="F227" s="161">
        <f t="shared" si="188"/>
        <v>0</v>
      </c>
      <c r="G227" s="161">
        <f t="shared" si="188"/>
        <v>0</v>
      </c>
      <c r="H227" s="161">
        <f t="shared" si="188"/>
        <v>0</v>
      </c>
      <c r="I227" s="161">
        <f t="shared" si="188"/>
        <v>0</v>
      </c>
      <c r="J227" s="161">
        <f t="shared" si="188"/>
        <v>0</v>
      </c>
      <c r="K227" s="161">
        <f t="shared" si="188"/>
        <v>0</v>
      </c>
      <c r="L227" s="161">
        <f t="shared" si="188"/>
        <v>0</v>
      </c>
      <c r="M227" s="161">
        <f t="shared" si="178"/>
        <v>0</v>
      </c>
      <c r="N227" s="161">
        <f t="shared" si="178"/>
        <v>0</v>
      </c>
      <c r="O227" s="161">
        <f t="shared" si="178"/>
        <v>0</v>
      </c>
      <c r="P227" s="161">
        <f t="shared" si="178"/>
        <v>0</v>
      </c>
      <c r="Q227" s="161">
        <f t="shared" si="179"/>
        <v>0</v>
      </c>
      <c r="R227" s="161">
        <f t="shared" si="179"/>
        <v>0</v>
      </c>
      <c r="S227" s="161">
        <f t="shared" si="187"/>
        <v>0</v>
      </c>
      <c r="T227" s="161">
        <f t="shared" si="187"/>
        <v>0</v>
      </c>
      <c r="U227" s="161">
        <f t="shared" si="187"/>
        <v>0</v>
      </c>
      <c r="V227" s="161">
        <f t="shared" si="187"/>
        <v>0</v>
      </c>
      <c r="W227" s="161">
        <f t="shared" si="187"/>
        <v>0</v>
      </c>
      <c r="X227" s="161">
        <f t="shared" si="187"/>
        <v>0</v>
      </c>
      <c r="Y227" s="161">
        <f t="shared" si="187"/>
        <v>0</v>
      </c>
      <c r="Z227" s="161">
        <f t="shared" si="187"/>
        <v>0</v>
      </c>
      <c r="AA227" s="161">
        <f t="shared" si="187"/>
        <v>0</v>
      </c>
      <c r="AB227" s="161">
        <f t="shared" si="187"/>
        <v>0</v>
      </c>
      <c r="AC227" s="161">
        <f t="shared" si="187"/>
        <v>0</v>
      </c>
      <c r="AD227" s="161">
        <f t="shared" si="187"/>
        <v>0</v>
      </c>
      <c r="AE227" s="161">
        <f t="shared" si="187"/>
        <v>0</v>
      </c>
      <c r="AF227" s="174">
        <f t="shared" si="18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8"/>
        <v>0</v>
      </c>
      <c r="D228" s="161">
        <f t="shared" si="188"/>
        <v>0</v>
      </c>
      <c r="E228" s="161">
        <f t="shared" si="188"/>
        <v>0</v>
      </c>
      <c r="F228" s="161">
        <f t="shared" si="188"/>
        <v>0</v>
      </c>
      <c r="G228" s="161">
        <f t="shared" si="188"/>
        <v>0</v>
      </c>
      <c r="H228" s="161">
        <f t="shared" si="188"/>
        <v>0</v>
      </c>
      <c r="I228" s="161">
        <f t="shared" si="188"/>
        <v>0</v>
      </c>
      <c r="J228" s="161">
        <f t="shared" si="188"/>
        <v>0</v>
      </c>
      <c r="K228" s="161">
        <f t="shared" si="188"/>
        <v>0</v>
      </c>
      <c r="L228" s="161">
        <f t="shared" si="188"/>
        <v>0</v>
      </c>
      <c r="M228" s="161">
        <f t="shared" si="178"/>
        <v>0</v>
      </c>
      <c r="N228" s="161">
        <f t="shared" si="178"/>
        <v>0</v>
      </c>
      <c r="O228" s="161">
        <f t="shared" si="178"/>
        <v>0</v>
      </c>
      <c r="P228" s="161">
        <f t="shared" si="178"/>
        <v>0</v>
      </c>
      <c r="Q228" s="161">
        <f t="shared" si="179"/>
        <v>0</v>
      </c>
      <c r="R228" s="161">
        <f t="shared" si="179"/>
        <v>0</v>
      </c>
      <c r="S228" s="161">
        <f t="shared" si="187"/>
        <v>0</v>
      </c>
      <c r="T228" s="161">
        <f t="shared" si="187"/>
        <v>0</v>
      </c>
      <c r="U228" s="161">
        <f t="shared" si="187"/>
        <v>0</v>
      </c>
      <c r="V228" s="161">
        <f t="shared" si="187"/>
        <v>0</v>
      </c>
      <c r="W228" s="161">
        <f t="shared" si="187"/>
        <v>0</v>
      </c>
      <c r="X228" s="161">
        <f t="shared" si="187"/>
        <v>0</v>
      </c>
      <c r="Y228" s="161">
        <f t="shared" si="187"/>
        <v>0</v>
      </c>
      <c r="Z228" s="161">
        <f t="shared" si="187"/>
        <v>0</v>
      </c>
      <c r="AA228" s="161">
        <f t="shared" si="187"/>
        <v>0</v>
      </c>
      <c r="AB228" s="161">
        <f t="shared" si="187"/>
        <v>0</v>
      </c>
      <c r="AC228" s="161">
        <f t="shared" si="187"/>
        <v>0</v>
      </c>
      <c r="AD228" s="161">
        <f t="shared" si="187"/>
        <v>0</v>
      </c>
      <c r="AE228" s="161">
        <f t="shared" si="187"/>
        <v>0</v>
      </c>
      <c r="AF228" s="174">
        <f t="shared" si="18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8"/>
        <v>0</v>
      </c>
      <c r="D229" s="161">
        <f t="shared" si="188"/>
        <v>0</v>
      </c>
      <c r="E229" s="161">
        <f t="shared" si="188"/>
        <v>0</v>
      </c>
      <c r="F229" s="161">
        <f t="shared" si="188"/>
        <v>0</v>
      </c>
      <c r="G229" s="161">
        <f t="shared" si="188"/>
        <v>0</v>
      </c>
      <c r="H229" s="161">
        <f t="shared" si="188"/>
        <v>0</v>
      </c>
      <c r="I229" s="161">
        <f t="shared" si="188"/>
        <v>0</v>
      </c>
      <c r="J229" s="161">
        <f t="shared" si="188"/>
        <v>0</v>
      </c>
      <c r="K229" s="161">
        <f t="shared" si="188"/>
        <v>0</v>
      </c>
      <c r="L229" s="161">
        <f t="shared" si="188"/>
        <v>0</v>
      </c>
      <c r="M229" s="161">
        <f t="shared" si="178"/>
        <v>0</v>
      </c>
      <c r="N229" s="161">
        <f t="shared" si="178"/>
        <v>0</v>
      </c>
      <c r="O229" s="161">
        <f t="shared" si="178"/>
        <v>0</v>
      </c>
      <c r="P229" s="161">
        <f t="shared" si="178"/>
        <v>0</v>
      </c>
      <c r="Q229" s="161">
        <f t="shared" si="179"/>
        <v>0</v>
      </c>
      <c r="R229" s="161">
        <f t="shared" si="179"/>
        <v>0</v>
      </c>
      <c r="S229" s="161">
        <f t="shared" si="187"/>
        <v>0</v>
      </c>
      <c r="T229" s="161">
        <f t="shared" si="187"/>
        <v>0</v>
      </c>
      <c r="U229" s="161">
        <f t="shared" si="187"/>
        <v>0</v>
      </c>
      <c r="V229" s="161">
        <f t="shared" si="187"/>
        <v>0</v>
      </c>
      <c r="W229" s="161">
        <f t="shared" si="187"/>
        <v>0</v>
      </c>
      <c r="X229" s="161">
        <f t="shared" si="187"/>
        <v>0</v>
      </c>
      <c r="Y229" s="161">
        <f t="shared" si="187"/>
        <v>0</v>
      </c>
      <c r="Z229" s="161">
        <f t="shared" si="187"/>
        <v>0</v>
      </c>
      <c r="AA229" s="161">
        <f t="shared" si="187"/>
        <v>0</v>
      </c>
      <c r="AB229" s="161">
        <f t="shared" si="187"/>
        <v>0</v>
      </c>
      <c r="AC229" s="161">
        <f t="shared" si="187"/>
        <v>0</v>
      </c>
      <c r="AD229" s="161">
        <f t="shared" si="187"/>
        <v>0</v>
      </c>
      <c r="AE229" s="161">
        <f t="shared" si="187"/>
        <v>0</v>
      </c>
      <c r="AF229" s="174">
        <f t="shared" si="18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8"/>
        <v>0</v>
      </c>
      <c r="D230" s="161">
        <f t="shared" si="188"/>
        <v>0</v>
      </c>
      <c r="E230" s="161">
        <f t="shared" si="188"/>
        <v>0</v>
      </c>
      <c r="F230" s="161">
        <f t="shared" si="188"/>
        <v>0</v>
      </c>
      <c r="G230" s="161">
        <f t="shared" si="188"/>
        <v>0</v>
      </c>
      <c r="H230" s="161">
        <f t="shared" si="188"/>
        <v>0</v>
      </c>
      <c r="I230" s="161">
        <f t="shared" si="188"/>
        <v>0</v>
      </c>
      <c r="J230" s="161">
        <f t="shared" si="188"/>
        <v>0</v>
      </c>
      <c r="K230" s="161">
        <f t="shared" si="188"/>
        <v>0</v>
      </c>
      <c r="L230" s="161">
        <f t="shared" si="188"/>
        <v>0</v>
      </c>
      <c r="M230" s="161">
        <f t="shared" si="178"/>
        <v>0</v>
      </c>
      <c r="N230" s="161">
        <f t="shared" si="178"/>
        <v>0</v>
      </c>
      <c r="O230" s="161">
        <f t="shared" si="178"/>
        <v>0</v>
      </c>
      <c r="P230" s="161">
        <f t="shared" si="178"/>
        <v>0</v>
      </c>
      <c r="Q230" s="161">
        <f t="shared" si="179"/>
        <v>0</v>
      </c>
      <c r="R230" s="161">
        <f t="shared" si="179"/>
        <v>0</v>
      </c>
      <c r="S230" s="161">
        <f t="shared" si="187"/>
        <v>0</v>
      </c>
      <c r="T230" s="161">
        <f t="shared" si="187"/>
        <v>0</v>
      </c>
      <c r="U230" s="161">
        <f t="shared" si="187"/>
        <v>0</v>
      </c>
      <c r="V230" s="161">
        <f t="shared" si="187"/>
        <v>0</v>
      </c>
      <c r="W230" s="161">
        <f t="shared" si="187"/>
        <v>0</v>
      </c>
      <c r="X230" s="161">
        <f t="shared" si="187"/>
        <v>0</v>
      </c>
      <c r="Y230" s="161">
        <f t="shared" si="187"/>
        <v>0</v>
      </c>
      <c r="Z230" s="161">
        <f t="shared" si="187"/>
        <v>0</v>
      </c>
      <c r="AA230" s="161">
        <f t="shared" si="187"/>
        <v>0</v>
      </c>
      <c r="AB230" s="161">
        <f t="shared" si="187"/>
        <v>0</v>
      </c>
      <c r="AC230" s="161">
        <f t="shared" si="187"/>
        <v>0</v>
      </c>
      <c r="AD230" s="161">
        <f t="shared" si="187"/>
        <v>0</v>
      </c>
      <c r="AE230" s="161">
        <f t="shared" si="187"/>
        <v>0</v>
      </c>
      <c r="AF230" s="174">
        <f t="shared" si="18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8"/>
        <v>0</v>
      </c>
      <c r="D231" s="161">
        <f t="shared" si="188"/>
        <v>0</v>
      </c>
      <c r="E231" s="161">
        <f t="shared" si="188"/>
        <v>0</v>
      </c>
      <c r="F231" s="161">
        <f t="shared" si="188"/>
        <v>0</v>
      </c>
      <c r="G231" s="161">
        <f t="shared" si="188"/>
        <v>0</v>
      </c>
      <c r="H231" s="161">
        <f t="shared" si="188"/>
        <v>0</v>
      </c>
      <c r="I231" s="161">
        <f t="shared" si="188"/>
        <v>0</v>
      </c>
      <c r="J231" s="161">
        <f t="shared" si="188"/>
        <v>0</v>
      </c>
      <c r="K231" s="161">
        <f t="shared" si="188"/>
        <v>0</v>
      </c>
      <c r="L231" s="161">
        <f t="shared" si="188"/>
        <v>0</v>
      </c>
      <c r="M231" s="161">
        <f t="shared" si="178"/>
        <v>0</v>
      </c>
      <c r="N231" s="161">
        <f t="shared" si="178"/>
        <v>0</v>
      </c>
      <c r="O231" s="161">
        <f t="shared" si="178"/>
        <v>0</v>
      </c>
      <c r="P231" s="161">
        <f t="shared" si="178"/>
        <v>0</v>
      </c>
      <c r="Q231" s="161">
        <f t="shared" si="179"/>
        <v>0</v>
      </c>
      <c r="R231" s="161">
        <f t="shared" si="179"/>
        <v>0</v>
      </c>
      <c r="S231" s="161">
        <f t="shared" si="187"/>
        <v>0</v>
      </c>
      <c r="T231" s="161">
        <f t="shared" si="187"/>
        <v>0</v>
      </c>
      <c r="U231" s="161">
        <f t="shared" si="187"/>
        <v>0</v>
      </c>
      <c r="V231" s="161">
        <f t="shared" si="187"/>
        <v>0</v>
      </c>
      <c r="W231" s="161">
        <f t="shared" si="187"/>
        <v>0</v>
      </c>
      <c r="X231" s="161">
        <f t="shared" si="187"/>
        <v>0</v>
      </c>
      <c r="Y231" s="161">
        <f t="shared" si="187"/>
        <v>0</v>
      </c>
      <c r="Z231" s="161">
        <f t="shared" si="187"/>
        <v>0</v>
      </c>
      <c r="AA231" s="161">
        <f t="shared" si="187"/>
        <v>0</v>
      </c>
      <c r="AB231" s="161">
        <f t="shared" si="187"/>
        <v>0</v>
      </c>
      <c r="AC231" s="161">
        <f t="shared" si="187"/>
        <v>0</v>
      </c>
      <c r="AD231" s="161">
        <f t="shared" si="187"/>
        <v>0</v>
      </c>
      <c r="AE231" s="161">
        <f t="shared" si="187"/>
        <v>0</v>
      </c>
      <c r="AF231" s="174">
        <f t="shared" si="18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8"/>
        <v>0</v>
      </c>
      <c r="D232" s="161">
        <f t="shared" si="188"/>
        <v>0</v>
      </c>
      <c r="E232" s="161">
        <f t="shared" si="188"/>
        <v>0</v>
      </c>
      <c r="F232" s="161">
        <f t="shared" si="188"/>
        <v>0</v>
      </c>
      <c r="G232" s="161">
        <f t="shared" si="188"/>
        <v>0</v>
      </c>
      <c r="H232" s="161">
        <f t="shared" si="188"/>
        <v>0</v>
      </c>
      <c r="I232" s="161">
        <f t="shared" si="188"/>
        <v>0</v>
      </c>
      <c r="J232" s="161">
        <f t="shared" si="188"/>
        <v>0</v>
      </c>
      <c r="K232" s="161">
        <f t="shared" si="188"/>
        <v>0</v>
      </c>
      <c r="L232" s="161">
        <f t="shared" si="188"/>
        <v>0</v>
      </c>
      <c r="M232" s="161">
        <f t="shared" si="178"/>
        <v>0</v>
      </c>
      <c r="N232" s="161">
        <f t="shared" si="178"/>
        <v>0</v>
      </c>
      <c r="O232" s="161">
        <f t="shared" si="178"/>
        <v>0</v>
      </c>
      <c r="P232" s="161">
        <f t="shared" ref="P232:R274" si="189">O232</f>
        <v>0</v>
      </c>
      <c r="Q232" s="161">
        <f t="shared" si="189"/>
        <v>0</v>
      </c>
      <c r="R232" s="161">
        <f t="shared" si="189"/>
        <v>0</v>
      </c>
      <c r="S232" s="161">
        <f t="shared" ref="R232:AF247" si="190">R232</f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ref="M233:R264" si="192">L233</f>
        <v>0</v>
      </c>
      <c r="N233" s="161">
        <f t="shared" si="192"/>
        <v>0</v>
      </c>
      <c r="O233" s="161">
        <f t="shared" si="192"/>
        <v>0</v>
      </c>
      <c r="P233" s="161">
        <f t="shared" si="192"/>
        <v>0</v>
      </c>
      <c r="Q233" s="161">
        <f t="shared" si="192"/>
        <v>0</v>
      </c>
      <c r="R233" s="161">
        <f t="shared" si="192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2"/>
        <v>0</v>
      </c>
      <c r="N234" s="161">
        <f t="shared" si="192"/>
        <v>0</v>
      </c>
      <c r="O234" s="161">
        <f t="shared" si="192"/>
        <v>0</v>
      </c>
      <c r="P234" s="161">
        <f t="shared" si="192"/>
        <v>0</v>
      </c>
      <c r="Q234" s="161">
        <f t="shared" si="192"/>
        <v>0</v>
      </c>
      <c r="R234" s="161">
        <f t="shared" si="192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2"/>
        <v>0</v>
      </c>
      <c r="N235" s="161">
        <f t="shared" si="192"/>
        <v>0</v>
      </c>
      <c r="O235" s="161">
        <f t="shared" si="192"/>
        <v>0</v>
      </c>
      <c r="P235" s="161">
        <f t="shared" si="192"/>
        <v>0</v>
      </c>
      <c r="Q235" s="161">
        <f t="shared" si="192"/>
        <v>0</v>
      </c>
      <c r="R235" s="161">
        <f t="shared" si="192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2"/>
        <v>0</v>
      </c>
      <c r="N236" s="161">
        <f t="shared" si="192"/>
        <v>0</v>
      </c>
      <c r="O236" s="161">
        <f t="shared" si="192"/>
        <v>0</v>
      </c>
      <c r="P236" s="161">
        <f t="shared" si="192"/>
        <v>0</v>
      </c>
      <c r="Q236" s="161">
        <f t="shared" si="192"/>
        <v>0</v>
      </c>
      <c r="R236" s="161">
        <f t="shared" si="192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2"/>
        <v>0</v>
      </c>
      <c r="N237" s="161">
        <f t="shared" si="192"/>
        <v>0</v>
      </c>
      <c r="O237" s="161">
        <f t="shared" si="192"/>
        <v>0</v>
      </c>
      <c r="P237" s="161">
        <f t="shared" si="192"/>
        <v>0</v>
      </c>
      <c r="Q237" s="161">
        <f t="shared" si="192"/>
        <v>0</v>
      </c>
      <c r="R237" s="161">
        <f t="shared" si="192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2"/>
        <v>0</v>
      </c>
      <c r="N238" s="161">
        <f t="shared" si="192"/>
        <v>0</v>
      </c>
      <c r="O238" s="161">
        <f t="shared" si="192"/>
        <v>0</v>
      </c>
      <c r="P238" s="161">
        <f t="shared" si="192"/>
        <v>0</v>
      </c>
      <c r="Q238" s="161">
        <f t="shared" si="192"/>
        <v>0</v>
      </c>
      <c r="R238" s="161">
        <f t="shared" si="192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2"/>
        <v>0</v>
      </c>
      <c r="N239" s="161">
        <f t="shared" si="192"/>
        <v>0</v>
      </c>
      <c r="O239" s="161">
        <f t="shared" si="192"/>
        <v>0</v>
      </c>
      <c r="P239" s="161">
        <f t="shared" si="192"/>
        <v>0</v>
      </c>
      <c r="Q239" s="161">
        <f t="shared" si="192"/>
        <v>0</v>
      </c>
      <c r="R239" s="161">
        <f t="shared" si="192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2"/>
        <v>0</v>
      </c>
      <c r="N240" s="161">
        <f t="shared" si="192"/>
        <v>0</v>
      </c>
      <c r="O240" s="161">
        <f t="shared" si="192"/>
        <v>0</v>
      </c>
      <c r="P240" s="161">
        <f t="shared" si="192"/>
        <v>0</v>
      </c>
      <c r="Q240" s="161">
        <f t="shared" si="192"/>
        <v>0</v>
      </c>
      <c r="R240" s="161">
        <f t="shared" si="192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2"/>
        <v>0</v>
      </c>
      <c r="N241" s="161">
        <f t="shared" si="192"/>
        <v>0</v>
      </c>
      <c r="O241" s="161">
        <f t="shared" si="192"/>
        <v>0</v>
      </c>
      <c r="P241" s="161">
        <f t="shared" si="192"/>
        <v>0</v>
      </c>
      <c r="Q241" s="161">
        <f t="shared" si="192"/>
        <v>0</v>
      </c>
      <c r="R241" s="161">
        <f t="shared" si="192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2"/>
        <v>0</v>
      </c>
      <c r="N242" s="161">
        <f t="shared" si="192"/>
        <v>0</v>
      </c>
      <c r="O242" s="161">
        <f t="shared" si="192"/>
        <v>0</v>
      </c>
      <c r="P242" s="161">
        <f t="shared" si="192"/>
        <v>0</v>
      </c>
      <c r="Q242" s="161">
        <f t="shared" si="192"/>
        <v>0</v>
      </c>
      <c r="R242" s="161">
        <f t="shared" si="192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2"/>
        <v>0</v>
      </c>
      <c r="N243" s="161">
        <f t="shared" si="192"/>
        <v>0</v>
      </c>
      <c r="O243" s="161">
        <f t="shared" si="192"/>
        <v>0</v>
      </c>
      <c r="P243" s="161">
        <f t="shared" si="192"/>
        <v>0</v>
      </c>
      <c r="Q243" s="161">
        <f t="shared" si="192"/>
        <v>0</v>
      </c>
      <c r="R243" s="161">
        <f t="shared" si="192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2"/>
        <v>0</v>
      </c>
      <c r="N244" s="161">
        <f t="shared" si="192"/>
        <v>0</v>
      </c>
      <c r="O244" s="161">
        <f t="shared" si="192"/>
        <v>0</v>
      </c>
      <c r="P244" s="161">
        <f t="shared" si="192"/>
        <v>0</v>
      </c>
      <c r="Q244" s="161">
        <f t="shared" si="192"/>
        <v>0</v>
      </c>
      <c r="R244" s="161">
        <f t="shared" si="192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2"/>
        <v>0</v>
      </c>
      <c r="N245" s="161">
        <f t="shared" si="192"/>
        <v>0</v>
      </c>
      <c r="O245" s="161">
        <f t="shared" si="192"/>
        <v>0</v>
      </c>
      <c r="P245" s="161">
        <f t="shared" si="192"/>
        <v>0</v>
      </c>
      <c r="Q245" s="161">
        <f t="shared" si="192"/>
        <v>0</v>
      </c>
      <c r="R245" s="161">
        <f t="shared" si="192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2"/>
        <v>0</v>
      </c>
      <c r="N246" s="161">
        <f t="shared" si="192"/>
        <v>0</v>
      </c>
      <c r="O246" s="161">
        <f t="shared" si="192"/>
        <v>0</v>
      </c>
      <c r="P246" s="161">
        <f t="shared" si="192"/>
        <v>0</v>
      </c>
      <c r="Q246" s="161">
        <f t="shared" si="192"/>
        <v>0</v>
      </c>
      <c r="R246" s="161">
        <f t="shared" si="192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2"/>
        <v>0</v>
      </c>
      <c r="N247" s="161">
        <f t="shared" si="192"/>
        <v>0</v>
      </c>
      <c r="O247" s="161">
        <f t="shared" si="192"/>
        <v>0</v>
      </c>
      <c r="P247" s="161">
        <f t="shared" si="192"/>
        <v>0</v>
      </c>
      <c r="Q247" s="161">
        <f t="shared" si="192"/>
        <v>0</v>
      </c>
      <c r="R247" s="161">
        <f t="shared" si="192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2"/>
        <v>0</v>
      </c>
      <c r="N248" s="161">
        <f t="shared" si="192"/>
        <v>0</v>
      </c>
      <c r="O248" s="161">
        <f t="shared" si="192"/>
        <v>0</v>
      </c>
      <c r="P248" s="161">
        <f t="shared" si="192"/>
        <v>0</v>
      </c>
      <c r="Q248" s="161">
        <f t="shared" si="192"/>
        <v>0</v>
      </c>
      <c r="R248" s="161">
        <f t="shared" si="192"/>
        <v>0</v>
      </c>
      <c r="S248" s="161">
        <f t="shared" ref="R248:AF263" si="193">R248</f>
        <v>0</v>
      </c>
      <c r="T248" s="161">
        <f t="shared" si="193"/>
        <v>0</v>
      </c>
      <c r="U248" s="161">
        <f t="shared" si="193"/>
        <v>0</v>
      </c>
      <c r="V248" s="161">
        <f t="shared" si="193"/>
        <v>0</v>
      </c>
      <c r="W248" s="161">
        <f t="shared" si="193"/>
        <v>0</v>
      </c>
      <c r="X248" s="161">
        <f t="shared" si="193"/>
        <v>0</v>
      </c>
      <c r="Y248" s="161">
        <f t="shared" si="193"/>
        <v>0</v>
      </c>
      <c r="Z248" s="161">
        <f t="shared" si="193"/>
        <v>0</v>
      </c>
      <c r="AA248" s="161">
        <f t="shared" si="193"/>
        <v>0</v>
      </c>
      <c r="AB248" s="161">
        <f t="shared" si="193"/>
        <v>0</v>
      </c>
      <c r="AC248" s="161">
        <f t="shared" si="193"/>
        <v>0</v>
      </c>
      <c r="AD248" s="161">
        <f t="shared" si="193"/>
        <v>0</v>
      </c>
      <c r="AE248" s="161">
        <f t="shared" si="193"/>
        <v>0</v>
      </c>
      <c r="AF248" s="174">
        <f t="shared" si="193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4">B249</f>
        <v>0</v>
      </c>
      <c r="D249" s="161">
        <f t="shared" si="194"/>
        <v>0</v>
      </c>
      <c r="E249" s="161">
        <f t="shared" si="194"/>
        <v>0</v>
      </c>
      <c r="F249" s="161">
        <f t="shared" si="194"/>
        <v>0</v>
      </c>
      <c r="G249" s="161">
        <f t="shared" si="194"/>
        <v>0</v>
      </c>
      <c r="H249" s="161">
        <f t="shared" si="194"/>
        <v>0</v>
      </c>
      <c r="I249" s="161">
        <f t="shared" si="194"/>
        <v>0</v>
      </c>
      <c r="J249" s="161">
        <f t="shared" si="194"/>
        <v>0</v>
      </c>
      <c r="K249" s="161">
        <f t="shared" si="194"/>
        <v>0</v>
      </c>
      <c r="L249" s="161">
        <f t="shared" si="194"/>
        <v>0</v>
      </c>
      <c r="M249" s="161">
        <f t="shared" si="192"/>
        <v>0</v>
      </c>
      <c r="N249" s="161">
        <f t="shared" si="192"/>
        <v>0</v>
      </c>
      <c r="O249" s="161">
        <f t="shared" si="192"/>
        <v>0</v>
      </c>
      <c r="P249" s="161">
        <f t="shared" si="192"/>
        <v>0</v>
      </c>
      <c r="Q249" s="161">
        <f t="shared" si="192"/>
        <v>0</v>
      </c>
      <c r="R249" s="161">
        <f t="shared" si="192"/>
        <v>0</v>
      </c>
      <c r="S249" s="161">
        <f t="shared" si="193"/>
        <v>0</v>
      </c>
      <c r="T249" s="161">
        <f t="shared" si="193"/>
        <v>0</v>
      </c>
      <c r="U249" s="161">
        <f t="shared" si="193"/>
        <v>0</v>
      </c>
      <c r="V249" s="161">
        <f t="shared" si="193"/>
        <v>0</v>
      </c>
      <c r="W249" s="161">
        <f t="shared" si="193"/>
        <v>0</v>
      </c>
      <c r="X249" s="161">
        <f t="shared" si="193"/>
        <v>0</v>
      </c>
      <c r="Y249" s="161">
        <f t="shared" si="193"/>
        <v>0</v>
      </c>
      <c r="Z249" s="161">
        <f t="shared" si="193"/>
        <v>0</v>
      </c>
      <c r="AA249" s="161">
        <f t="shared" si="193"/>
        <v>0</v>
      </c>
      <c r="AB249" s="161">
        <f t="shared" si="193"/>
        <v>0</v>
      </c>
      <c r="AC249" s="161">
        <f t="shared" si="193"/>
        <v>0</v>
      </c>
      <c r="AD249" s="161">
        <f t="shared" si="193"/>
        <v>0</v>
      </c>
      <c r="AE249" s="161">
        <f t="shared" si="193"/>
        <v>0</v>
      </c>
      <c r="AF249" s="174">
        <f t="shared" si="193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4"/>
        <v>0</v>
      </c>
      <c r="D250" s="161">
        <f t="shared" si="194"/>
        <v>0</v>
      </c>
      <c r="E250" s="161">
        <f t="shared" si="194"/>
        <v>0</v>
      </c>
      <c r="F250" s="161">
        <f t="shared" si="194"/>
        <v>0</v>
      </c>
      <c r="G250" s="161">
        <f t="shared" si="194"/>
        <v>0</v>
      </c>
      <c r="H250" s="161">
        <f t="shared" si="194"/>
        <v>0</v>
      </c>
      <c r="I250" s="161">
        <f t="shared" si="194"/>
        <v>0</v>
      </c>
      <c r="J250" s="161">
        <f t="shared" si="194"/>
        <v>0</v>
      </c>
      <c r="K250" s="161">
        <f t="shared" si="194"/>
        <v>0</v>
      </c>
      <c r="L250" s="161">
        <f t="shared" si="194"/>
        <v>0</v>
      </c>
      <c r="M250" s="161">
        <f t="shared" si="192"/>
        <v>0</v>
      </c>
      <c r="N250" s="161">
        <f t="shared" si="192"/>
        <v>0</v>
      </c>
      <c r="O250" s="161">
        <f t="shared" si="192"/>
        <v>0</v>
      </c>
      <c r="P250" s="161">
        <f t="shared" si="192"/>
        <v>0</v>
      </c>
      <c r="Q250" s="161">
        <f t="shared" si="192"/>
        <v>0</v>
      </c>
      <c r="R250" s="161">
        <f t="shared" si="192"/>
        <v>0</v>
      </c>
      <c r="S250" s="161">
        <f t="shared" si="193"/>
        <v>0</v>
      </c>
      <c r="T250" s="161">
        <f t="shared" si="193"/>
        <v>0</v>
      </c>
      <c r="U250" s="161">
        <f t="shared" si="193"/>
        <v>0</v>
      </c>
      <c r="V250" s="161">
        <f t="shared" si="193"/>
        <v>0</v>
      </c>
      <c r="W250" s="161">
        <f t="shared" si="193"/>
        <v>0</v>
      </c>
      <c r="X250" s="161">
        <f t="shared" si="193"/>
        <v>0</v>
      </c>
      <c r="Y250" s="161">
        <f t="shared" si="193"/>
        <v>0</v>
      </c>
      <c r="Z250" s="161">
        <f t="shared" si="193"/>
        <v>0</v>
      </c>
      <c r="AA250" s="161">
        <f t="shared" si="193"/>
        <v>0</v>
      </c>
      <c r="AB250" s="161">
        <f t="shared" si="193"/>
        <v>0</v>
      </c>
      <c r="AC250" s="161">
        <f t="shared" si="193"/>
        <v>0</v>
      </c>
      <c r="AD250" s="161">
        <f t="shared" si="193"/>
        <v>0</v>
      </c>
      <c r="AE250" s="161">
        <f t="shared" si="193"/>
        <v>0</v>
      </c>
      <c r="AF250" s="174">
        <f t="shared" si="193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4"/>
        <v>0</v>
      </c>
      <c r="D251" s="161">
        <f t="shared" si="194"/>
        <v>0</v>
      </c>
      <c r="E251" s="161">
        <f t="shared" si="194"/>
        <v>0</v>
      </c>
      <c r="F251" s="161">
        <f t="shared" si="194"/>
        <v>0</v>
      </c>
      <c r="G251" s="161">
        <f t="shared" si="194"/>
        <v>0</v>
      </c>
      <c r="H251" s="161">
        <f t="shared" si="194"/>
        <v>0</v>
      </c>
      <c r="I251" s="161">
        <f t="shared" si="194"/>
        <v>0</v>
      </c>
      <c r="J251" s="161">
        <f t="shared" si="194"/>
        <v>0</v>
      </c>
      <c r="K251" s="161">
        <f t="shared" si="194"/>
        <v>0</v>
      </c>
      <c r="L251" s="161">
        <f t="shared" si="194"/>
        <v>0</v>
      </c>
      <c r="M251" s="161">
        <f t="shared" si="192"/>
        <v>0</v>
      </c>
      <c r="N251" s="161">
        <f t="shared" si="192"/>
        <v>0</v>
      </c>
      <c r="O251" s="161">
        <f t="shared" si="192"/>
        <v>0</v>
      </c>
      <c r="P251" s="161">
        <f t="shared" si="192"/>
        <v>0</v>
      </c>
      <c r="Q251" s="161">
        <f t="shared" si="192"/>
        <v>0</v>
      </c>
      <c r="R251" s="161">
        <f t="shared" si="192"/>
        <v>0</v>
      </c>
      <c r="S251" s="161">
        <f t="shared" si="193"/>
        <v>0</v>
      </c>
      <c r="T251" s="161">
        <f t="shared" si="193"/>
        <v>0</v>
      </c>
      <c r="U251" s="161">
        <f t="shared" si="193"/>
        <v>0</v>
      </c>
      <c r="V251" s="161">
        <f t="shared" si="193"/>
        <v>0</v>
      </c>
      <c r="W251" s="161">
        <f t="shared" si="193"/>
        <v>0</v>
      </c>
      <c r="X251" s="161">
        <f t="shared" si="193"/>
        <v>0</v>
      </c>
      <c r="Y251" s="161">
        <f t="shared" si="193"/>
        <v>0</v>
      </c>
      <c r="Z251" s="161">
        <f t="shared" si="193"/>
        <v>0</v>
      </c>
      <c r="AA251" s="161">
        <f t="shared" si="193"/>
        <v>0</v>
      </c>
      <c r="AB251" s="161">
        <f t="shared" si="193"/>
        <v>0</v>
      </c>
      <c r="AC251" s="161">
        <f t="shared" si="193"/>
        <v>0</v>
      </c>
      <c r="AD251" s="161">
        <f t="shared" si="193"/>
        <v>0</v>
      </c>
      <c r="AE251" s="161">
        <f t="shared" si="193"/>
        <v>0</v>
      </c>
      <c r="AF251" s="174">
        <f t="shared" si="193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4"/>
        <v>0</v>
      </c>
      <c r="D252" s="161">
        <f t="shared" si="194"/>
        <v>0</v>
      </c>
      <c r="E252" s="161">
        <f t="shared" si="194"/>
        <v>0</v>
      </c>
      <c r="F252" s="161">
        <f t="shared" si="194"/>
        <v>0</v>
      </c>
      <c r="G252" s="161">
        <f t="shared" si="194"/>
        <v>0</v>
      </c>
      <c r="H252" s="161">
        <f t="shared" si="194"/>
        <v>0</v>
      </c>
      <c r="I252" s="161">
        <f t="shared" si="194"/>
        <v>0</v>
      </c>
      <c r="J252" s="161">
        <f t="shared" si="194"/>
        <v>0</v>
      </c>
      <c r="K252" s="161">
        <f t="shared" si="194"/>
        <v>0</v>
      </c>
      <c r="L252" s="161">
        <f t="shared" si="194"/>
        <v>0</v>
      </c>
      <c r="M252" s="161">
        <f t="shared" si="192"/>
        <v>0</v>
      </c>
      <c r="N252" s="161">
        <f t="shared" si="192"/>
        <v>0</v>
      </c>
      <c r="O252" s="161">
        <f t="shared" si="192"/>
        <v>0</v>
      </c>
      <c r="P252" s="161">
        <f t="shared" si="192"/>
        <v>0</v>
      </c>
      <c r="Q252" s="161">
        <f t="shared" si="192"/>
        <v>0</v>
      </c>
      <c r="R252" s="161">
        <f t="shared" si="192"/>
        <v>0</v>
      </c>
      <c r="S252" s="161">
        <f t="shared" si="193"/>
        <v>0</v>
      </c>
      <c r="T252" s="161">
        <f t="shared" si="193"/>
        <v>0</v>
      </c>
      <c r="U252" s="161">
        <f t="shared" si="193"/>
        <v>0</v>
      </c>
      <c r="V252" s="161">
        <f t="shared" si="193"/>
        <v>0</v>
      </c>
      <c r="W252" s="161">
        <f t="shared" si="193"/>
        <v>0</v>
      </c>
      <c r="X252" s="161">
        <f t="shared" si="193"/>
        <v>0</v>
      </c>
      <c r="Y252" s="161">
        <f t="shared" si="193"/>
        <v>0</v>
      </c>
      <c r="Z252" s="161">
        <f t="shared" si="193"/>
        <v>0</v>
      </c>
      <c r="AA252" s="161">
        <f t="shared" si="193"/>
        <v>0</v>
      </c>
      <c r="AB252" s="161">
        <f t="shared" si="193"/>
        <v>0</v>
      </c>
      <c r="AC252" s="161">
        <f t="shared" si="193"/>
        <v>0</v>
      </c>
      <c r="AD252" s="161">
        <f t="shared" si="193"/>
        <v>0</v>
      </c>
      <c r="AE252" s="161">
        <f t="shared" si="193"/>
        <v>0</v>
      </c>
      <c r="AF252" s="174">
        <f t="shared" si="193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4"/>
        <v>0</v>
      </c>
      <c r="D253" s="161">
        <f t="shared" si="194"/>
        <v>0</v>
      </c>
      <c r="E253" s="161">
        <f t="shared" si="194"/>
        <v>0</v>
      </c>
      <c r="F253" s="161">
        <f t="shared" si="194"/>
        <v>0</v>
      </c>
      <c r="G253" s="161">
        <f t="shared" si="194"/>
        <v>0</v>
      </c>
      <c r="H253" s="161">
        <f t="shared" si="194"/>
        <v>0</v>
      </c>
      <c r="I253" s="161">
        <f t="shared" si="194"/>
        <v>0</v>
      </c>
      <c r="J253" s="161">
        <f t="shared" si="194"/>
        <v>0</v>
      </c>
      <c r="K253" s="161">
        <f t="shared" si="194"/>
        <v>0</v>
      </c>
      <c r="L253" s="161">
        <f t="shared" si="194"/>
        <v>0</v>
      </c>
      <c r="M253" s="161">
        <f t="shared" si="192"/>
        <v>0</v>
      </c>
      <c r="N253" s="161">
        <f t="shared" si="192"/>
        <v>0</v>
      </c>
      <c r="O253" s="161">
        <f t="shared" si="192"/>
        <v>0</v>
      </c>
      <c r="P253" s="161">
        <f t="shared" si="192"/>
        <v>0</v>
      </c>
      <c r="Q253" s="161">
        <f t="shared" si="192"/>
        <v>0</v>
      </c>
      <c r="R253" s="161">
        <f t="shared" si="192"/>
        <v>0</v>
      </c>
      <c r="S253" s="161">
        <f t="shared" si="193"/>
        <v>0</v>
      </c>
      <c r="T253" s="161">
        <f t="shared" si="193"/>
        <v>0</v>
      </c>
      <c r="U253" s="161">
        <f t="shared" si="193"/>
        <v>0</v>
      </c>
      <c r="V253" s="161">
        <f t="shared" si="193"/>
        <v>0</v>
      </c>
      <c r="W253" s="161">
        <f t="shared" si="193"/>
        <v>0</v>
      </c>
      <c r="X253" s="161">
        <f t="shared" si="193"/>
        <v>0</v>
      </c>
      <c r="Y253" s="161">
        <f t="shared" si="193"/>
        <v>0</v>
      </c>
      <c r="Z253" s="161">
        <f t="shared" si="193"/>
        <v>0</v>
      </c>
      <c r="AA253" s="161">
        <f t="shared" si="193"/>
        <v>0</v>
      </c>
      <c r="AB253" s="161">
        <f t="shared" si="193"/>
        <v>0</v>
      </c>
      <c r="AC253" s="161">
        <f t="shared" si="193"/>
        <v>0</v>
      </c>
      <c r="AD253" s="161">
        <f t="shared" si="193"/>
        <v>0</v>
      </c>
      <c r="AE253" s="161">
        <f t="shared" si="193"/>
        <v>0</v>
      </c>
      <c r="AF253" s="174">
        <f t="shared" si="193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4"/>
        <v>0</v>
      </c>
      <c r="D254" s="161">
        <f t="shared" si="194"/>
        <v>0</v>
      </c>
      <c r="E254" s="161">
        <f t="shared" si="194"/>
        <v>0</v>
      </c>
      <c r="F254" s="161">
        <f t="shared" si="194"/>
        <v>0</v>
      </c>
      <c r="G254" s="161">
        <f t="shared" si="194"/>
        <v>0</v>
      </c>
      <c r="H254" s="161">
        <f t="shared" si="194"/>
        <v>0</v>
      </c>
      <c r="I254" s="161">
        <f t="shared" si="194"/>
        <v>0</v>
      </c>
      <c r="J254" s="161">
        <f t="shared" si="194"/>
        <v>0</v>
      </c>
      <c r="K254" s="161">
        <f t="shared" si="194"/>
        <v>0</v>
      </c>
      <c r="L254" s="161">
        <f t="shared" si="194"/>
        <v>0</v>
      </c>
      <c r="M254" s="161">
        <f t="shared" si="192"/>
        <v>0</v>
      </c>
      <c r="N254" s="161">
        <f t="shared" si="192"/>
        <v>0</v>
      </c>
      <c r="O254" s="161">
        <f t="shared" si="192"/>
        <v>0</v>
      </c>
      <c r="P254" s="161">
        <f t="shared" si="192"/>
        <v>0</v>
      </c>
      <c r="Q254" s="161">
        <f t="shared" si="192"/>
        <v>0</v>
      </c>
      <c r="R254" s="161">
        <f t="shared" si="192"/>
        <v>0</v>
      </c>
      <c r="S254" s="161">
        <f t="shared" si="193"/>
        <v>0</v>
      </c>
      <c r="T254" s="161">
        <f t="shared" si="193"/>
        <v>0</v>
      </c>
      <c r="U254" s="161">
        <f t="shared" si="193"/>
        <v>0</v>
      </c>
      <c r="V254" s="161">
        <f t="shared" si="193"/>
        <v>0</v>
      </c>
      <c r="W254" s="161">
        <f t="shared" si="193"/>
        <v>0</v>
      </c>
      <c r="X254" s="161">
        <f t="shared" si="193"/>
        <v>0</v>
      </c>
      <c r="Y254" s="161">
        <f t="shared" si="193"/>
        <v>0</v>
      </c>
      <c r="Z254" s="161">
        <f t="shared" si="193"/>
        <v>0</v>
      </c>
      <c r="AA254" s="161">
        <f t="shared" si="193"/>
        <v>0</v>
      </c>
      <c r="AB254" s="161">
        <f t="shared" si="193"/>
        <v>0</v>
      </c>
      <c r="AC254" s="161">
        <f t="shared" si="193"/>
        <v>0</v>
      </c>
      <c r="AD254" s="161">
        <f t="shared" si="193"/>
        <v>0</v>
      </c>
      <c r="AE254" s="161">
        <f t="shared" si="193"/>
        <v>0</v>
      </c>
      <c r="AF254" s="174">
        <f t="shared" si="193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4"/>
        <v>0</v>
      </c>
      <c r="D255" s="161">
        <f t="shared" si="194"/>
        <v>0</v>
      </c>
      <c r="E255" s="161">
        <f t="shared" si="194"/>
        <v>0</v>
      </c>
      <c r="F255" s="161">
        <f t="shared" si="194"/>
        <v>0</v>
      </c>
      <c r="G255" s="161">
        <f t="shared" si="194"/>
        <v>0</v>
      </c>
      <c r="H255" s="161">
        <f t="shared" si="194"/>
        <v>0</v>
      </c>
      <c r="I255" s="161">
        <f t="shared" si="194"/>
        <v>0</v>
      </c>
      <c r="J255" s="161">
        <f t="shared" si="194"/>
        <v>0</v>
      </c>
      <c r="K255" s="161">
        <f t="shared" si="194"/>
        <v>0</v>
      </c>
      <c r="L255" s="161">
        <f t="shared" si="194"/>
        <v>0</v>
      </c>
      <c r="M255" s="161">
        <f t="shared" si="192"/>
        <v>0</v>
      </c>
      <c r="N255" s="161">
        <f t="shared" si="192"/>
        <v>0</v>
      </c>
      <c r="O255" s="161">
        <f t="shared" si="192"/>
        <v>0</v>
      </c>
      <c r="P255" s="161">
        <f t="shared" si="192"/>
        <v>0</v>
      </c>
      <c r="Q255" s="161">
        <f t="shared" si="192"/>
        <v>0</v>
      </c>
      <c r="R255" s="161">
        <f t="shared" si="192"/>
        <v>0</v>
      </c>
      <c r="S255" s="161">
        <f t="shared" si="193"/>
        <v>0</v>
      </c>
      <c r="T255" s="161">
        <f t="shared" si="193"/>
        <v>0</v>
      </c>
      <c r="U255" s="161">
        <f t="shared" si="193"/>
        <v>0</v>
      </c>
      <c r="V255" s="161">
        <f t="shared" si="193"/>
        <v>0</v>
      </c>
      <c r="W255" s="161">
        <f t="shared" si="193"/>
        <v>0</v>
      </c>
      <c r="X255" s="161">
        <f t="shared" si="193"/>
        <v>0</v>
      </c>
      <c r="Y255" s="161">
        <f t="shared" si="193"/>
        <v>0</v>
      </c>
      <c r="Z255" s="161">
        <f t="shared" si="193"/>
        <v>0</v>
      </c>
      <c r="AA255" s="161">
        <f t="shared" si="193"/>
        <v>0</v>
      </c>
      <c r="AB255" s="161">
        <f t="shared" si="193"/>
        <v>0</v>
      </c>
      <c r="AC255" s="161">
        <f t="shared" si="193"/>
        <v>0</v>
      </c>
      <c r="AD255" s="161">
        <f t="shared" si="193"/>
        <v>0</v>
      </c>
      <c r="AE255" s="161">
        <f t="shared" si="193"/>
        <v>0</v>
      </c>
      <c r="AF255" s="174">
        <f t="shared" si="193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4"/>
        <v>0</v>
      </c>
      <c r="D256" s="161">
        <f t="shared" si="194"/>
        <v>0</v>
      </c>
      <c r="E256" s="161">
        <f t="shared" si="194"/>
        <v>0</v>
      </c>
      <c r="F256" s="161">
        <f t="shared" si="194"/>
        <v>0</v>
      </c>
      <c r="G256" s="161">
        <f t="shared" si="194"/>
        <v>0</v>
      </c>
      <c r="H256" s="161">
        <f t="shared" si="194"/>
        <v>0</v>
      </c>
      <c r="I256" s="161">
        <f t="shared" si="194"/>
        <v>0</v>
      </c>
      <c r="J256" s="161">
        <f t="shared" si="194"/>
        <v>0</v>
      </c>
      <c r="K256" s="161">
        <f t="shared" si="194"/>
        <v>0</v>
      </c>
      <c r="L256" s="161">
        <f t="shared" si="194"/>
        <v>0</v>
      </c>
      <c r="M256" s="161">
        <f t="shared" si="192"/>
        <v>0</v>
      </c>
      <c r="N256" s="161">
        <f t="shared" si="192"/>
        <v>0</v>
      </c>
      <c r="O256" s="161">
        <f t="shared" si="192"/>
        <v>0</v>
      </c>
      <c r="P256" s="161">
        <f t="shared" si="192"/>
        <v>0</v>
      </c>
      <c r="Q256" s="161">
        <f t="shared" si="192"/>
        <v>0</v>
      </c>
      <c r="R256" s="161">
        <f t="shared" si="192"/>
        <v>0</v>
      </c>
      <c r="S256" s="161">
        <f t="shared" si="193"/>
        <v>0</v>
      </c>
      <c r="T256" s="161">
        <f t="shared" si="193"/>
        <v>0</v>
      </c>
      <c r="U256" s="161">
        <f t="shared" si="193"/>
        <v>0</v>
      </c>
      <c r="V256" s="161">
        <f t="shared" si="193"/>
        <v>0</v>
      </c>
      <c r="W256" s="161">
        <f t="shared" si="193"/>
        <v>0</v>
      </c>
      <c r="X256" s="161">
        <f t="shared" si="193"/>
        <v>0</v>
      </c>
      <c r="Y256" s="161">
        <f t="shared" si="193"/>
        <v>0</v>
      </c>
      <c r="Z256" s="161">
        <f t="shared" si="193"/>
        <v>0</v>
      </c>
      <c r="AA256" s="161">
        <f t="shared" si="193"/>
        <v>0</v>
      </c>
      <c r="AB256" s="161">
        <f t="shared" si="193"/>
        <v>0</v>
      </c>
      <c r="AC256" s="161">
        <f t="shared" si="193"/>
        <v>0</v>
      </c>
      <c r="AD256" s="161">
        <f t="shared" si="193"/>
        <v>0</v>
      </c>
      <c r="AE256" s="161">
        <f t="shared" si="193"/>
        <v>0</v>
      </c>
      <c r="AF256" s="174">
        <f t="shared" si="193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4"/>
        <v>0</v>
      </c>
      <c r="D257" s="161">
        <f t="shared" si="194"/>
        <v>0</v>
      </c>
      <c r="E257" s="161">
        <f t="shared" si="194"/>
        <v>0</v>
      </c>
      <c r="F257" s="161">
        <f t="shared" si="194"/>
        <v>0</v>
      </c>
      <c r="G257" s="161">
        <f t="shared" si="194"/>
        <v>0</v>
      </c>
      <c r="H257" s="161">
        <f t="shared" si="194"/>
        <v>0</v>
      </c>
      <c r="I257" s="161">
        <f t="shared" si="194"/>
        <v>0</v>
      </c>
      <c r="J257" s="161">
        <f t="shared" si="194"/>
        <v>0</v>
      </c>
      <c r="K257" s="161">
        <f t="shared" si="194"/>
        <v>0</v>
      </c>
      <c r="L257" s="161">
        <f t="shared" si="194"/>
        <v>0</v>
      </c>
      <c r="M257" s="161">
        <f t="shared" si="192"/>
        <v>0</v>
      </c>
      <c r="N257" s="161">
        <f t="shared" si="192"/>
        <v>0</v>
      </c>
      <c r="O257" s="161">
        <f t="shared" si="192"/>
        <v>0</v>
      </c>
      <c r="P257" s="161">
        <f t="shared" si="192"/>
        <v>0</v>
      </c>
      <c r="Q257" s="161">
        <f t="shared" si="192"/>
        <v>0</v>
      </c>
      <c r="R257" s="161">
        <f t="shared" si="192"/>
        <v>0</v>
      </c>
      <c r="S257" s="161">
        <f t="shared" si="193"/>
        <v>0</v>
      </c>
      <c r="T257" s="161">
        <f t="shared" si="193"/>
        <v>0</v>
      </c>
      <c r="U257" s="161">
        <f t="shared" si="193"/>
        <v>0</v>
      </c>
      <c r="V257" s="161">
        <f t="shared" si="193"/>
        <v>0</v>
      </c>
      <c r="W257" s="161">
        <f t="shared" si="193"/>
        <v>0</v>
      </c>
      <c r="X257" s="161">
        <f t="shared" si="193"/>
        <v>0</v>
      </c>
      <c r="Y257" s="161">
        <f t="shared" si="193"/>
        <v>0</v>
      </c>
      <c r="Z257" s="161">
        <f t="shared" si="193"/>
        <v>0</v>
      </c>
      <c r="AA257" s="161">
        <f t="shared" si="193"/>
        <v>0</v>
      </c>
      <c r="AB257" s="161">
        <f t="shared" si="193"/>
        <v>0</v>
      </c>
      <c r="AC257" s="161">
        <f t="shared" si="193"/>
        <v>0</v>
      </c>
      <c r="AD257" s="161">
        <f t="shared" si="193"/>
        <v>0</v>
      </c>
      <c r="AE257" s="161">
        <f t="shared" si="193"/>
        <v>0</v>
      </c>
      <c r="AF257" s="174">
        <f t="shared" si="193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4"/>
        <v>0</v>
      </c>
      <c r="D258" s="161">
        <f t="shared" si="194"/>
        <v>0</v>
      </c>
      <c r="E258" s="161">
        <f t="shared" si="194"/>
        <v>0</v>
      </c>
      <c r="F258" s="161">
        <f t="shared" si="194"/>
        <v>0</v>
      </c>
      <c r="G258" s="161">
        <f t="shared" si="194"/>
        <v>0</v>
      </c>
      <c r="H258" s="161">
        <f t="shared" si="194"/>
        <v>0</v>
      </c>
      <c r="I258" s="161">
        <f t="shared" si="194"/>
        <v>0</v>
      </c>
      <c r="J258" s="161">
        <f t="shared" si="194"/>
        <v>0</v>
      </c>
      <c r="K258" s="161">
        <f t="shared" si="194"/>
        <v>0</v>
      </c>
      <c r="L258" s="161">
        <f t="shared" si="194"/>
        <v>0</v>
      </c>
      <c r="M258" s="161">
        <f t="shared" si="192"/>
        <v>0</v>
      </c>
      <c r="N258" s="161">
        <f t="shared" si="192"/>
        <v>0</v>
      </c>
      <c r="O258" s="161">
        <f t="shared" si="192"/>
        <v>0</v>
      </c>
      <c r="P258" s="161">
        <f t="shared" si="192"/>
        <v>0</v>
      </c>
      <c r="Q258" s="161">
        <f t="shared" si="192"/>
        <v>0</v>
      </c>
      <c r="R258" s="161">
        <f t="shared" si="192"/>
        <v>0</v>
      </c>
      <c r="S258" s="161">
        <f t="shared" si="193"/>
        <v>0</v>
      </c>
      <c r="T258" s="161">
        <f t="shared" si="193"/>
        <v>0</v>
      </c>
      <c r="U258" s="161">
        <f t="shared" si="193"/>
        <v>0</v>
      </c>
      <c r="V258" s="161">
        <f t="shared" si="193"/>
        <v>0</v>
      </c>
      <c r="W258" s="161">
        <f t="shared" si="193"/>
        <v>0</v>
      </c>
      <c r="X258" s="161">
        <f t="shared" si="193"/>
        <v>0</v>
      </c>
      <c r="Y258" s="161">
        <f t="shared" si="193"/>
        <v>0</v>
      </c>
      <c r="Z258" s="161">
        <f t="shared" si="193"/>
        <v>0</v>
      </c>
      <c r="AA258" s="161">
        <f t="shared" si="193"/>
        <v>0</v>
      </c>
      <c r="AB258" s="161">
        <f t="shared" si="193"/>
        <v>0</v>
      </c>
      <c r="AC258" s="161">
        <f t="shared" si="193"/>
        <v>0</v>
      </c>
      <c r="AD258" s="161">
        <f t="shared" si="193"/>
        <v>0</v>
      </c>
      <c r="AE258" s="161">
        <f t="shared" si="193"/>
        <v>0</v>
      </c>
      <c r="AF258" s="174">
        <f t="shared" si="193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4"/>
        <v>0</v>
      </c>
      <c r="D259" s="161">
        <f t="shared" si="194"/>
        <v>0</v>
      </c>
      <c r="E259" s="161">
        <f t="shared" si="194"/>
        <v>0</v>
      </c>
      <c r="F259" s="161">
        <f t="shared" si="194"/>
        <v>0</v>
      </c>
      <c r="G259" s="161">
        <f t="shared" si="194"/>
        <v>0</v>
      </c>
      <c r="H259" s="161">
        <f t="shared" si="194"/>
        <v>0</v>
      </c>
      <c r="I259" s="161">
        <f t="shared" si="194"/>
        <v>0</v>
      </c>
      <c r="J259" s="161">
        <f t="shared" si="194"/>
        <v>0</v>
      </c>
      <c r="K259" s="161">
        <f t="shared" si="194"/>
        <v>0</v>
      </c>
      <c r="L259" s="161">
        <f t="shared" si="194"/>
        <v>0</v>
      </c>
      <c r="M259" s="161">
        <f t="shared" si="192"/>
        <v>0</v>
      </c>
      <c r="N259" s="161">
        <f t="shared" si="192"/>
        <v>0</v>
      </c>
      <c r="O259" s="161">
        <f t="shared" si="192"/>
        <v>0</v>
      </c>
      <c r="P259" s="161">
        <f t="shared" si="192"/>
        <v>0</v>
      </c>
      <c r="Q259" s="161">
        <f t="shared" si="192"/>
        <v>0</v>
      </c>
      <c r="R259" s="161">
        <f t="shared" si="192"/>
        <v>0</v>
      </c>
      <c r="S259" s="161">
        <f t="shared" si="193"/>
        <v>0</v>
      </c>
      <c r="T259" s="161">
        <f t="shared" si="193"/>
        <v>0</v>
      </c>
      <c r="U259" s="161">
        <f t="shared" si="193"/>
        <v>0</v>
      </c>
      <c r="V259" s="161">
        <f t="shared" si="193"/>
        <v>0</v>
      </c>
      <c r="W259" s="161">
        <f t="shared" si="193"/>
        <v>0</v>
      </c>
      <c r="X259" s="161">
        <f t="shared" si="193"/>
        <v>0</v>
      </c>
      <c r="Y259" s="161">
        <f t="shared" si="193"/>
        <v>0</v>
      </c>
      <c r="Z259" s="161">
        <f t="shared" si="193"/>
        <v>0</v>
      </c>
      <c r="AA259" s="161">
        <f t="shared" si="193"/>
        <v>0</v>
      </c>
      <c r="AB259" s="161">
        <f t="shared" si="193"/>
        <v>0</v>
      </c>
      <c r="AC259" s="161">
        <f t="shared" si="193"/>
        <v>0</v>
      </c>
      <c r="AD259" s="161">
        <f t="shared" si="193"/>
        <v>0</v>
      </c>
      <c r="AE259" s="161">
        <f t="shared" si="193"/>
        <v>0</v>
      </c>
      <c r="AF259" s="174">
        <f t="shared" si="193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4"/>
        <v>0</v>
      </c>
      <c r="D260" s="161">
        <f t="shared" si="194"/>
        <v>0</v>
      </c>
      <c r="E260" s="161">
        <f t="shared" si="194"/>
        <v>0</v>
      </c>
      <c r="F260" s="161">
        <f t="shared" si="194"/>
        <v>0</v>
      </c>
      <c r="G260" s="161">
        <f t="shared" si="194"/>
        <v>0</v>
      </c>
      <c r="H260" s="161">
        <f t="shared" si="194"/>
        <v>0</v>
      </c>
      <c r="I260" s="161">
        <f t="shared" si="194"/>
        <v>0</v>
      </c>
      <c r="J260" s="161">
        <f t="shared" si="194"/>
        <v>0</v>
      </c>
      <c r="K260" s="161">
        <f t="shared" si="194"/>
        <v>0</v>
      </c>
      <c r="L260" s="161">
        <f t="shared" si="194"/>
        <v>0</v>
      </c>
      <c r="M260" s="161">
        <f t="shared" si="192"/>
        <v>0</v>
      </c>
      <c r="N260" s="161">
        <f t="shared" si="192"/>
        <v>0</v>
      </c>
      <c r="O260" s="161">
        <f t="shared" si="192"/>
        <v>0</v>
      </c>
      <c r="P260" s="161">
        <f t="shared" si="192"/>
        <v>0</v>
      </c>
      <c r="Q260" s="161">
        <f t="shared" si="192"/>
        <v>0</v>
      </c>
      <c r="R260" s="161">
        <f t="shared" si="192"/>
        <v>0</v>
      </c>
      <c r="S260" s="161">
        <f t="shared" si="193"/>
        <v>0</v>
      </c>
      <c r="T260" s="161">
        <f t="shared" si="193"/>
        <v>0</v>
      </c>
      <c r="U260" s="161">
        <f t="shared" si="193"/>
        <v>0</v>
      </c>
      <c r="V260" s="161">
        <f t="shared" si="193"/>
        <v>0</v>
      </c>
      <c r="W260" s="161">
        <f t="shared" si="193"/>
        <v>0</v>
      </c>
      <c r="X260" s="161">
        <f t="shared" si="193"/>
        <v>0</v>
      </c>
      <c r="Y260" s="161">
        <f t="shared" si="193"/>
        <v>0</v>
      </c>
      <c r="Z260" s="161">
        <f t="shared" si="193"/>
        <v>0</v>
      </c>
      <c r="AA260" s="161">
        <f t="shared" si="193"/>
        <v>0</v>
      </c>
      <c r="AB260" s="161">
        <f t="shared" si="193"/>
        <v>0</v>
      </c>
      <c r="AC260" s="161">
        <f t="shared" si="193"/>
        <v>0</v>
      </c>
      <c r="AD260" s="161">
        <f t="shared" si="193"/>
        <v>0</v>
      </c>
      <c r="AE260" s="161">
        <f t="shared" si="193"/>
        <v>0</v>
      </c>
      <c r="AF260" s="174">
        <f t="shared" si="193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4"/>
        <v>0</v>
      </c>
      <c r="D261" s="161">
        <f t="shared" si="194"/>
        <v>0</v>
      </c>
      <c r="E261" s="161">
        <f t="shared" si="194"/>
        <v>0</v>
      </c>
      <c r="F261" s="161">
        <f t="shared" si="194"/>
        <v>0</v>
      </c>
      <c r="G261" s="161">
        <f t="shared" si="194"/>
        <v>0</v>
      </c>
      <c r="H261" s="161">
        <f t="shared" si="194"/>
        <v>0</v>
      </c>
      <c r="I261" s="161">
        <f t="shared" si="194"/>
        <v>0</v>
      </c>
      <c r="J261" s="161">
        <f t="shared" si="194"/>
        <v>0</v>
      </c>
      <c r="K261" s="161">
        <f t="shared" si="194"/>
        <v>0</v>
      </c>
      <c r="L261" s="161">
        <f t="shared" si="194"/>
        <v>0</v>
      </c>
      <c r="M261" s="161">
        <f t="shared" si="192"/>
        <v>0</v>
      </c>
      <c r="N261" s="161">
        <f t="shared" si="192"/>
        <v>0</v>
      </c>
      <c r="O261" s="161">
        <f t="shared" si="192"/>
        <v>0</v>
      </c>
      <c r="P261" s="161">
        <f t="shared" si="192"/>
        <v>0</v>
      </c>
      <c r="Q261" s="161">
        <f t="shared" si="192"/>
        <v>0</v>
      </c>
      <c r="R261" s="161">
        <f t="shared" si="192"/>
        <v>0</v>
      </c>
      <c r="S261" s="161">
        <f t="shared" si="193"/>
        <v>0</v>
      </c>
      <c r="T261" s="161">
        <f t="shared" si="193"/>
        <v>0</v>
      </c>
      <c r="U261" s="161">
        <f t="shared" si="193"/>
        <v>0</v>
      </c>
      <c r="V261" s="161">
        <f t="shared" si="193"/>
        <v>0</v>
      </c>
      <c r="W261" s="161">
        <f t="shared" si="193"/>
        <v>0</v>
      </c>
      <c r="X261" s="161">
        <f t="shared" si="193"/>
        <v>0</v>
      </c>
      <c r="Y261" s="161">
        <f t="shared" si="193"/>
        <v>0</v>
      </c>
      <c r="Z261" s="161">
        <f t="shared" si="193"/>
        <v>0</v>
      </c>
      <c r="AA261" s="161">
        <f t="shared" si="193"/>
        <v>0</v>
      </c>
      <c r="AB261" s="161">
        <f t="shared" si="193"/>
        <v>0</v>
      </c>
      <c r="AC261" s="161">
        <f t="shared" si="193"/>
        <v>0</v>
      </c>
      <c r="AD261" s="161">
        <f t="shared" si="193"/>
        <v>0</v>
      </c>
      <c r="AE261" s="161">
        <f t="shared" si="193"/>
        <v>0</v>
      </c>
      <c r="AF261" s="174">
        <f t="shared" si="193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4"/>
        <v>0</v>
      </c>
      <c r="D262" s="161">
        <f t="shared" si="194"/>
        <v>0</v>
      </c>
      <c r="E262" s="161">
        <f t="shared" si="194"/>
        <v>0</v>
      </c>
      <c r="F262" s="161">
        <f t="shared" si="194"/>
        <v>0</v>
      </c>
      <c r="G262" s="161">
        <f t="shared" si="194"/>
        <v>0</v>
      </c>
      <c r="H262" s="161">
        <f t="shared" si="194"/>
        <v>0</v>
      </c>
      <c r="I262" s="161">
        <f t="shared" si="194"/>
        <v>0</v>
      </c>
      <c r="J262" s="161">
        <f t="shared" si="194"/>
        <v>0</v>
      </c>
      <c r="K262" s="161">
        <f t="shared" si="194"/>
        <v>0</v>
      </c>
      <c r="L262" s="161">
        <f t="shared" si="194"/>
        <v>0</v>
      </c>
      <c r="M262" s="161">
        <f t="shared" si="192"/>
        <v>0</v>
      </c>
      <c r="N262" s="161">
        <f t="shared" si="192"/>
        <v>0</v>
      </c>
      <c r="O262" s="161">
        <f t="shared" si="192"/>
        <v>0</v>
      </c>
      <c r="P262" s="161">
        <f t="shared" si="192"/>
        <v>0</v>
      </c>
      <c r="Q262" s="161">
        <f t="shared" si="192"/>
        <v>0</v>
      </c>
      <c r="R262" s="161">
        <f t="shared" si="192"/>
        <v>0</v>
      </c>
      <c r="S262" s="161">
        <f t="shared" si="193"/>
        <v>0</v>
      </c>
      <c r="T262" s="161">
        <f t="shared" si="193"/>
        <v>0</v>
      </c>
      <c r="U262" s="161">
        <f t="shared" si="193"/>
        <v>0</v>
      </c>
      <c r="V262" s="161">
        <f t="shared" si="193"/>
        <v>0</v>
      </c>
      <c r="W262" s="161">
        <f t="shared" si="193"/>
        <v>0</v>
      </c>
      <c r="X262" s="161">
        <f t="shared" si="193"/>
        <v>0</v>
      </c>
      <c r="Y262" s="161">
        <f t="shared" si="193"/>
        <v>0</v>
      </c>
      <c r="Z262" s="161">
        <f t="shared" si="193"/>
        <v>0</v>
      </c>
      <c r="AA262" s="161">
        <f t="shared" si="193"/>
        <v>0</v>
      </c>
      <c r="AB262" s="161">
        <f t="shared" si="193"/>
        <v>0</v>
      </c>
      <c r="AC262" s="161">
        <f t="shared" si="193"/>
        <v>0</v>
      </c>
      <c r="AD262" s="161">
        <f t="shared" si="193"/>
        <v>0</v>
      </c>
      <c r="AE262" s="161">
        <f t="shared" si="193"/>
        <v>0</v>
      </c>
      <c r="AF262" s="174">
        <f t="shared" si="193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4"/>
        <v>0</v>
      </c>
      <c r="D263" s="161">
        <f t="shared" si="194"/>
        <v>0</v>
      </c>
      <c r="E263" s="161">
        <f t="shared" si="194"/>
        <v>0</v>
      </c>
      <c r="F263" s="161">
        <f t="shared" si="194"/>
        <v>0</v>
      </c>
      <c r="G263" s="161">
        <f t="shared" si="194"/>
        <v>0</v>
      </c>
      <c r="H263" s="161">
        <f t="shared" si="194"/>
        <v>0</v>
      </c>
      <c r="I263" s="161">
        <f t="shared" si="194"/>
        <v>0</v>
      </c>
      <c r="J263" s="161">
        <f t="shared" si="194"/>
        <v>0</v>
      </c>
      <c r="K263" s="161">
        <f t="shared" si="194"/>
        <v>0</v>
      </c>
      <c r="L263" s="161">
        <f t="shared" si="194"/>
        <v>0</v>
      </c>
      <c r="M263" s="161">
        <f t="shared" si="192"/>
        <v>0</v>
      </c>
      <c r="N263" s="161">
        <f t="shared" si="192"/>
        <v>0</v>
      </c>
      <c r="O263" s="161">
        <f t="shared" si="192"/>
        <v>0</v>
      </c>
      <c r="P263" s="161">
        <f t="shared" si="192"/>
        <v>0</v>
      </c>
      <c r="Q263" s="161">
        <f t="shared" si="192"/>
        <v>0</v>
      </c>
      <c r="R263" s="161">
        <f t="shared" si="192"/>
        <v>0</v>
      </c>
      <c r="S263" s="161">
        <f t="shared" si="193"/>
        <v>0</v>
      </c>
      <c r="T263" s="161">
        <f t="shared" si="193"/>
        <v>0</v>
      </c>
      <c r="U263" s="161">
        <f t="shared" si="193"/>
        <v>0</v>
      </c>
      <c r="V263" s="161">
        <f t="shared" si="193"/>
        <v>0</v>
      </c>
      <c r="W263" s="161">
        <f t="shared" si="193"/>
        <v>0</v>
      </c>
      <c r="X263" s="161">
        <f t="shared" si="193"/>
        <v>0</v>
      </c>
      <c r="Y263" s="161">
        <f t="shared" si="193"/>
        <v>0</v>
      </c>
      <c r="Z263" s="161">
        <f t="shared" si="193"/>
        <v>0</v>
      </c>
      <c r="AA263" s="161">
        <f t="shared" si="193"/>
        <v>0</v>
      </c>
      <c r="AB263" s="161">
        <f t="shared" si="193"/>
        <v>0</v>
      </c>
      <c r="AC263" s="161">
        <f t="shared" si="193"/>
        <v>0</v>
      </c>
      <c r="AD263" s="161">
        <f t="shared" si="193"/>
        <v>0</v>
      </c>
      <c r="AE263" s="161">
        <f t="shared" si="193"/>
        <v>0</v>
      </c>
      <c r="AF263" s="174">
        <f t="shared" si="193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4"/>
        <v>0</v>
      </c>
      <c r="D264" s="161">
        <f t="shared" si="194"/>
        <v>0</v>
      </c>
      <c r="E264" s="161">
        <f t="shared" si="194"/>
        <v>0</v>
      </c>
      <c r="F264" s="161">
        <f t="shared" si="194"/>
        <v>0</v>
      </c>
      <c r="G264" s="161">
        <f t="shared" si="194"/>
        <v>0</v>
      </c>
      <c r="H264" s="161">
        <f t="shared" si="194"/>
        <v>0</v>
      </c>
      <c r="I264" s="161">
        <f t="shared" si="194"/>
        <v>0</v>
      </c>
      <c r="J264" s="161">
        <f t="shared" si="194"/>
        <v>0</v>
      </c>
      <c r="K264" s="161">
        <f t="shared" si="194"/>
        <v>0</v>
      </c>
      <c r="L264" s="161">
        <f t="shared" si="194"/>
        <v>0</v>
      </c>
      <c r="M264" s="161">
        <f t="shared" si="192"/>
        <v>0</v>
      </c>
      <c r="N264" s="161">
        <f t="shared" si="192"/>
        <v>0</v>
      </c>
      <c r="O264" s="161">
        <f t="shared" si="192"/>
        <v>0</v>
      </c>
      <c r="P264" s="161">
        <f t="shared" si="192"/>
        <v>0</v>
      </c>
      <c r="Q264" s="161">
        <f t="shared" si="192"/>
        <v>0</v>
      </c>
      <c r="R264" s="161">
        <f t="shared" si="192"/>
        <v>0</v>
      </c>
      <c r="S264" s="161">
        <f t="shared" ref="S264:AF273" si="195">R264</f>
        <v>0</v>
      </c>
      <c r="T264" s="161">
        <f t="shared" si="195"/>
        <v>0</v>
      </c>
      <c r="U264" s="161">
        <f t="shared" si="195"/>
        <v>0</v>
      </c>
      <c r="V264" s="161">
        <f t="shared" si="195"/>
        <v>0</v>
      </c>
      <c r="W264" s="161">
        <f t="shared" si="195"/>
        <v>0</v>
      </c>
      <c r="X264" s="161">
        <f t="shared" si="195"/>
        <v>0</v>
      </c>
      <c r="Y264" s="161">
        <f t="shared" si="195"/>
        <v>0</v>
      </c>
      <c r="Z264" s="161">
        <f t="shared" si="195"/>
        <v>0</v>
      </c>
      <c r="AA264" s="161">
        <f t="shared" si="195"/>
        <v>0</v>
      </c>
      <c r="AB264" s="161">
        <f t="shared" si="195"/>
        <v>0</v>
      </c>
      <c r="AC264" s="161">
        <f t="shared" si="195"/>
        <v>0</v>
      </c>
      <c r="AD264" s="161">
        <f t="shared" si="195"/>
        <v>0</v>
      </c>
      <c r="AE264" s="161">
        <f t="shared" si="195"/>
        <v>0</v>
      </c>
      <c r="AF264" s="174">
        <f t="shared" si="19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6">B265</f>
        <v>0</v>
      </c>
      <c r="D265" s="161">
        <f t="shared" si="196"/>
        <v>0</v>
      </c>
      <c r="E265" s="161">
        <f t="shared" si="196"/>
        <v>0</v>
      </c>
      <c r="F265" s="161">
        <f t="shared" si="196"/>
        <v>0</v>
      </c>
      <c r="G265" s="161">
        <f t="shared" si="196"/>
        <v>0</v>
      </c>
      <c r="H265" s="161">
        <f t="shared" si="196"/>
        <v>0</v>
      </c>
      <c r="I265" s="161">
        <f t="shared" si="196"/>
        <v>0</v>
      </c>
      <c r="J265" s="161">
        <f t="shared" si="196"/>
        <v>0</v>
      </c>
      <c r="K265" s="161">
        <f t="shared" si="196"/>
        <v>0</v>
      </c>
      <c r="L265" s="161">
        <f t="shared" si="196"/>
        <v>0</v>
      </c>
      <c r="M265" s="161">
        <f t="shared" si="196"/>
        <v>0</v>
      </c>
      <c r="N265" s="161">
        <f t="shared" si="196"/>
        <v>0</v>
      </c>
      <c r="O265" s="161">
        <f t="shared" si="196"/>
        <v>0</v>
      </c>
      <c r="P265" s="161">
        <f t="shared" si="196"/>
        <v>0</v>
      </c>
      <c r="Q265" s="161">
        <f t="shared" si="196"/>
        <v>0</v>
      </c>
      <c r="R265" s="161">
        <f t="shared" si="196"/>
        <v>0</v>
      </c>
      <c r="S265" s="161">
        <f t="shared" si="195"/>
        <v>0</v>
      </c>
      <c r="T265" s="161">
        <f t="shared" si="195"/>
        <v>0</v>
      </c>
      <c r="U265" s="161">
        <f t="shared" si="195"/>
        <v>0</v>
      </c>
      <c r="V265" s="161">
        <f t="shared" si="195"/>
        <v>0</v>
      </c>
      <c r="W265" s="161">
        <f t="shared" si="195"/>
        <v>0</v>
      </c>
      <c r="X265" s="161">
        <f t="shared" si="195"/>
        <v>0</v>
      </c>
      <c r="Y265" s="161">
        <f t="shared" si="195"/>
        <v>0</v>
      </c>
      <c r="Z265" s="161">
        <f t="shared" si="195"/>
        <v>0</v>
      </c>
      <c r="AA265" s="161">
        <f t="shared" si="195"/>
        <v>0</v>
      </c>
      <c r="AB265" s="161">
        <f t="shared" si="195"/>
        <v>0</v>
      </c>
      <c r="AC265" s="161">
        <f t="shared" si="195"/>
        <v>0</v>
      </c>
      <c r="AD265" s="161">
        <f t="shared" si="195"/>
        <v>0</v>
      </c>
      <c r="AE265" s="161">
        <f t="shared" si="195"/>
        <v>0</v>
      </c>
      <c r="AF265" s="174">
        <f t="shared" si="19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6"/>
        <v>0</v>
      </c>
      <c r="D266" s="161">
        <f t="shared" si="196"/>
        <v>0</v>
      </c>
      <c r="E266" s="161">
        <f t="shared" si="196"/>
        <v>0</v>
      </c>
      <c r="F266" s="161">
        <f t="shared" si="196"/>
        <v>0</v>
      </c>
      <c r="G266" s="161">
        <f t="shared" si="196"/>
        <v>0</v>
      </c>
      <c r="H266" s="161">
        <f t="shared" si="196"/>
        <v>0</v>
      </c>
      <c r="I266" s="161">
        <f t="shared" si="196"/>
        <v>0</v>
      </c>
      <c r="J266" s="161">
        <f t="shared" si="196"/>
        <v>0</v>
      </c>
      <c r="K266" s="161">
        <f t="shared" si="196"/>
        <v>0</v>
      </c>
      <c r="L266" s="161">
        <f t="shared" si="196"/>
        <v>0</v>
      </c>
      <c r="M266" s="161">
        <f t="shared" si="196"/>
        <v>0</v>
      </c>
      <c r="N266" s="161">
        <f t="shared" si="196"/>
        <v>0</v>
      </c>
      <c r="O266" s="161">
        <f t="shared" si="196"/>
        <v>0</v>
      </c>
      <c r="P266" s="161">
        <f t="shared" si="196"/>
        <v>0</v>
      </c>
      <c r="Q266" s="161">
        <f t="shared" si="196"/>
        <v>0</v>
      </c>
      <c r="R266" s="161">
        <f t="shared" si="196"/>
        <v>0</v>
      </c>
      <c r="S266" s="161">
        <f t="shared" si="195"/>
        <v>0</v>
      </c>
      <c r="T266" s="161">
        <f t="shared" si="195"/>
        <v>0</v>
      </c>
      <c r="U266" s="161">
        <f t="shared" si="195"/>
        <v>0</v>
      </c>
      <c r="V266" s="161">
        <f t="shared" si="195"/>
        <v>0</v>
      </c>
      <c r="W266" s="161">
        <f t="shared" si="195"/>
        <v>0</v>
      </c>
      <c r="X266" s="161">
        <f t="shared" si="195"/>
        <v>0</v>
      </c>
      <c r="Y266" s="161">
        <f t="shared" si="195"/>
        <v>0</v>
      </c>
      <c r="Z266" s="161">
        <f t="shared" si="195"/>
        <v>0</v>
      </c>
      <c r="AA266" s="161">
        <f t="shared" si="195"/>
        <v>0</v>
      </c>
      <c r="AB266" s="161">
        <f t="shared" si="195"/>
        <v>0</v>
      </c>
      <c r="AC266" s="161">
        <f t="shared" si="195"/>
        <v>0</v>
      </c>
      <c r="AD266" s="161">
        <f t="shared" si="195"/>
        <v>0</v>
      </c>
      <c r="AE266" s="161">
        <f t="shared" si="195"/>
        <v>0</v>
      </c>
      <c r="AF266" s="174">
        <f t="shared" si="19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6"/>
        <v>0</v>
      </c>
      <c r="D267" s="161">
        <f t="shared" si="196"/>
        <v>0</v>
      </c>
      <c r="E267" s="161">
        <f t="shared" si="196"/>
        <v>0</v>
      </c>
      <c r="F267" s="161">
        <f t="shared" si="196"/>
        <v>0</v>
      </c>
      <c r="G267" s="161">
        <f t="shared" si="196"/>
        <v>0</v>
      </c>
      <c r="H267" s="161">
        <f t="shared" si="196"/>
        <v>0</v>
      </c>
      <c r="I267" s="161">
        <f t="shared" si="196"/>
        <v>0</v>
      </c>
      <c r="J267" s="161">
        <f t="shared" si="196"/>
        <v>0</v>
      </c>
      <c r="K267" s="161">
        <f t="shared" si="196"/>
        <v>0</v>
      </c>
      <c r="L267" s="161">
        <f t="shared" si="196"/>
        <v>0</v>
      </c>
      <c r="M267" s="161">
        <f t="shared" si="196"/>
        <v>0</v>
      </c>
      <c r="N267" s="161">
        <f t="shared" si="196"/>
        <v>0</v>
      </c>
      <c r="O267" s="161">
        <f t="shared" si="196"/>
        <v>0</v>
      </c>
      <c r="P267" s="161">
        <f t="shared" si="196"/>
        <v>0</v>
      </c>
      <c r="Q267" s="161">
        <f t="shared" si="196"/>
        <v>0</v>
      </c>
      <c r="R267" s="161">
        <f t="shared" si="196"/>
        <v>0</v>
      </c>
      <c r="S267" s="161">
        <f t="shared" si="195"/>
        <v>0</v>
      </c>
      <c r="T267" s="161">
        <f t="shared" si="195"/>
        <v>0</v>
      </c>
      <c r="U267" s="161">
        <f t="shared" si="195"/>
        <v>0</v>
      </c>
      <c r="V267" s="161">
        <f t="shared" si="195"/>
        <v>0</v>
      </c>
      <c r="W267" s="161">
        <f t="shared" si="195"/>
        <v>0</v>
      </c>
      <c r="X267" s="161">
        <f t="shared" si="195"/>
        <v>0</v>
      </c>
      <c r="Y267" s="161">
        <f t="shared" si="195"/>
        <v>0</v>
      </c>
      <c r="Z267" s="161">
        <f t="shared" si="195"/>
        <v>0</v>
      </c>
      <c r="AA267" s="161">
        <f t="shared" si="195"/>
        <v>0</v>
      </c>
      <c r="AB267" s="161">
        <f t="shared" si="195"/>
        <v>0</v>
      </c>
      <c r="AC267" s="161">
        <f t="shared" si="195"/>
        <v>0</v>
      </c>
      <c r="AD267" s="161">
        <f t="shared" si="195"/>
        <v>0</v>
      </c>
      <c r="AE267" s="161">
        <f t="shared" si="195"/>
        <v>0</v>
      </c>
      <c r="AF267" s="174">
        <f t="shared" si="19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6"/>
        <v>0</v>
      </c>
      <c r="D268" s="161">
        <f t="shared" si="196"/>
        <v>0</v>
      </c>
      <c r="E268" s="161">
        <f t="shared" si="196"/>
        <v>0</v>
      </c>
      <c r="F268" s="161">
        <f t="shared" si="196"/>
        <v>0</v>
      </c>
      <c r="G268" s="161">
        <f t="shared" si="196"/>
        <v>0</v>
      </c>
      <c r="H268" s="161">
        <f t="shared" si="196"/>
        <v>0</v>
      </c>
      <c r="I268" s="161">
        <f t="shared" si="196"/>
        <v>0</v>
      </c>
      <c r="J268" s="161">
        <f t="shared" si="196"/>
        <v>0</v>
      </c>
      <c r="K268" s="161">
        <f t="shared" si="196"/>
        <v>0</v>
      </c>
      <c r="L268" s="161">
        <f t="shared" si="196"/>
        <v>0</v>
      </c>
      <c r="M268" s="161">
        <f t="shared" si="196"/>
        <v>0</v>
      </c>
      <c r="N268" s="161">
        <f t="shared" si="196"/>
        <v>0</v>
      </c>
      <c r="O268" s="161">
        <f t="shared" si="196"/>
        <v>0</v>
      </c>
      <c r="P268" s="161">
        <f t="shared" si="196"/>
        <v>0</v>
      </c>
      <c r="Q268" s="161">
        <f t="shared" si="196"/>
        <v>0</v>
      </c>
      <c r="R268" s="161">
        <f t="shared" si="196"/>
        <v>0</v>
      </c>
      <c r="S268" s="161">
        <f t="shared" si="195"/>
        <v>0</v>
      </c>
      <c r="T268" s="161">
        <f t="shared" si="195"/>
        <v>0</v>
      </c>
      <c r="U268" s="161">
        <f t="shared" si="195"/>
        <v>0</v>
      </c>
      <c r="V268" s="161">
        <f t="shared" si="195"/>
        <v>0</v>
      </c>
      <c r="W268" s="161">
        <f t="shared" si="195"/>
        <v>0</v>
      </c>
      <c r="X268" s="161">
        <f t="shared" si="195"/>
        <v>0</v>
      </c>
      <c r="Y268" s="161">
        <f t="shared" si="195"/>
        <v>0</v>
      </c>
      <c r="Z268" s="161">
        <f t="shared" si="195"/>
        <v>0</v>
      </c>
      <c r="AA268" s="161">
        <f t="shared" si="195"/>
        <v>0</v>
      </c>
      <c r="AB268" s="161">
        <f t="shared" si="195"/>
        <v>0</v>
      </c>
      <c r="AC268" s="161">
        <f t="shared" si="195"/>
        <v>0</v>
      </c>
      <c r="AD268" s="161">
        <f t="shared" si="195"/>
        <v>0</v>
      </c>
      <c r="AE268" s="161">
        <f t="shared" si="195"/>
        <v>0</v>
      </c>
      <c r="AF268" s="174">
        <f t="shared" si="19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6"/>
        <v>0</v>
      </c>
      <c r="D269" s="161">
        <f t="shared" si="196"/>
        <v>0</v>
      </c>
      <c r="E269" s="161">
        <f t="shared" si="196"/>
        <v>0</v>
      </c>
      <c r="F269" s="161">
        <f t="shared" si="196"/>
        <v>0</v>
      </c>
      <c r="G269" s="161">
        <f t="shared" si="196"/>
        <v>0</v>
      </c>
      <c r="H269" s="161">
        <f t="shared" si="196"/>
        <v>0</v>
      </c>
      <c r="I269" s="161">
        <f t="shared" si="196"/>
        <v>0</v>
      </c>
      <c r="J269" s="161">
        <f t="shared" si="196"/>
        <v>0</v>
      </c>
      <c r="K269" s="161">
        <f t="shared" si="196"/>
        <v>0</v>
      </c>
      <c r="L269" s="161">
        <f t="shared" si="196"/>
        <v>0</v>
      </c>
      <c r="M269" s="161">
        <f t="shared" si="196"/>
        <v>0</v>
      </c>
      <c r="N269" s="161">
        <f t="shared" si="196"/>
        <v>0</v>
      </c>
      <c r="O269" s="161">
        <f t="shared" si="196"/>
        <v>0</v>
      </c>
      <c r="P269" s="161">
        <f t="shared" si="196"/>
        <v>0</v>
      </c>
      <c r="Q269" s="161">
        <f t="shared" si="196"/>
        <v>0</v>
      </c>
      <c r="R269" s="161">
        <f t="shared" si="196"/>
        <v>0</v>
      </c>
      <c r="S269" s="161">
        <f t="shared" si="195"/>
        <v>0</v>
      </c>
      <c r="T269" s="161">
        <f t="shared" si="195"/>
        <v>0</v>
      </c>
      <c r="U269" s="161">
        <f t="shared" si="195"/>
        <v>0</v>
      </c>
      <c r="V269" s="161">
        <f t="shared" si="195"/>
        <v>0</v>
      </c>
      <c r="W269" s="161">
        <f t="shared" si="195"/>
        <v>0</v>
      </c>
      <c r="X269" s="161">
        <f t="shared" si="195"/>
        <v>0</v>
      </c>
      <c r="Y269" s="161">
        <f t="shared" si="195"/>
        <v>0</v>
      </c>
      <c r="Z269" s="161">
        <f t="shared" si="195"/>
        <v>0</v>
      </c>
      <c r="AA269" s="161">
        <f t="shared" si="195"/>
        <v>0</v>
      </c>
      <c r="AB269" s="161">
        <f t="shared" si="195"/>
        <v>0</v>
      </c>
      <c r="AC269" s="161">
        <f t="shared" si="195"/>
        <v>0</v>
      </c>
      <c r="AD269" s="161">
        <f t="shared" si="195"/>
        <v>0</v>
      </c>
      <c r="AE269" s="161">
        <f t="shared" si="195"/>
        <v>0</v>
      </c>
      <c r="AF269" s="174">
        <f t="shared" si="19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6"/>
        <v>0</v>
      </c>
      <c r="D270" s="161">
        <f t="shared" si="196"/>
        <v>0</v>
      </c>
      <c r="E270" s="161">
        <f t="shared" si="196"/>
        <v>0</v>
      </c>
      <c r="F270" s="161">
        <f t="shared" si="196"/>
        <v>0</v>
      </c>
      <c r="G270" s="161">
        <f t="shared" si="196"/>
        <v>0</v>
      </c>
      <c r="H270" s="161">
        <f t="shared" si="196"/>
        <v>0</v>
      </c>
      <c r="I270" s="161">
        <f t="shared" si="196"/>
        <v>0</v>
      </c>
      <c r="J270" s="161">
        <f t="shared" si="196"/>
        <v>0</v>
      </c>
      <c r="K270" s="161">
        <f t="shared" si="196"/>
        <v>0</v>
      </c>
      <c r="L270" s="161">
        <f t="shared" si="196"/>
        <v>0</v>
      </c>
      <c r="M270" s="161">
        <f t="shared" si="196"/>
        <v>0</v>
      </c>
      <c r="N270" s="161">
        <f t="shared" si="196"/>
        <v>0</v>
      </c>
      <c r="O270" s="161">
        <f t="shared" si="196"/>
        <v>0</v>
      </c>
      <c r="P270" s="161">
        <f t="shared" si="196"/>
        <v>0</v>
      </c>
      <c r="Q270" s="161">
        <f t="shared" si="196"/>
        <v>0</v>
      </c>
      <c r="R270" s="161">
        <f t="shared" si="196"/>
        <v>0</v>
      </c>
      <c r="S270" s="161">
        <f t="shared" si="195"/>
        <v>0</v>
      </c>
      <c r="T270" s="161">
        <f t="shared" si="195"/>
        <v>0</v>
      </c>
      <c r="U270" s="161">
        <f t="shared" si="195"/>
        <v>0</v>
      </c>
      <c r="V270" s="161">
        <f t="shared" si="195"/>
        <v>0</v>
      </c>
      <c r="W270" s="161">
        <f t="shared" si="195"/>
        <v>0</v>
      </c>
      <c r="X270" s="161">
        <f t="shared" si="195"/>
        <v>0</v>
      </c>
      <c r="Y270" s="161">
        <f t="shared" si="195"/>
        <v>0</v>
      </c>
      <c r="Z270" s="161">
        <f t="shared" si="195"/>
        <v>0</v>
      </c>
      <c r="AA270" s="161">
        <f t="shared" si="195"/>
        <v>0</v>
      </c>
      <c r="AB270" s="161">
        <f t="shared" si="195"/>
        <v>0</v>
      </c>
      <c r="AC270" s="161">
        <f t="shared" si="195"/>
        <v>0</v>
      </c>
      <c r="AD270" s="161">
        <f t="shared" si="195"/>
        <v>0</v>
      </c>
      <c r="AE270" s="161">
        <f t="shared" si="195"/>
        <v>0</v>
      </c>
      <c r="AF270" s="174">
        <f t="shared" si="19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6"/>
        <v>0</v>
      </c>
      <c r="D271" s="161">
        <f t="shared" si="196"/>
        <v>0</v>
      </c>
      <c r="E271" s="161">
        <f t="shared" si="196"/>
        <v>0</v>
      </c>
      <c r="F271" s="161">
        <f t="shared" si="196"/>
        <v>0</v>
      </c>
      <c r="G271" s="161">
        <f t="shared" si="196"/>
        <v>0</v>
      </c>
      <c r="H271" s="161">
        <f t="shared" si="196"/>
        <v>0</v>
      </c>
      <c r="I271" s="161">
        <f t="shared" si="196"/>
        <v>0</v>
      </c>
      <c r="J271" s="161">
        <f t="shared" si="196"/>
        <v>0</v>
      </c>
      <c r="K271" s="161">
        <f t="shared" si="196"/>
        <v>0</v>
      </c>
      <c r="L271" s="161">
        <f t="shared" si="196"/>
        <v>0</v>
      </c>
      <c r="M271" s="161">
        <f t="shared" si="196"/>
        <v>0</v>
      </c>
      <c r="N271" s="161">
        <f t="shared" si="196"/>
        <v>0</v>
      </c>
      <c r="O271" s="161">
        <f t="shared" si="196"/>
        <v>0</v>
      </c>
      <c r="P271" s="161">
        <f t="shared" si="196"/>
        <v>0</v>
      </c>
      <c r="Q271" s="161">
        <f t="shared" si="196"/>
        <v>0</v>
      </c>
      <c r="R271" s="161">
        <f t="shared" si="196"/>
        <v>0</v>
      </c>
      <c r="S271" s="161">
        <f t="shared" si="195"/>
        <v>0</v>
      </c>
      <c r="T271" s="161">
        <f t="shared" si="195"/>
        <v>0</v>
      </c>
      <c r="U271" s="161">
        <f t="shared" si="195"/>
        <v>0</v>
      </c>
      <c r="V271" s="161">
        <f t="shared" si="195"/>
        <v>0</v>
      </c>
      <c r="W271" s="161">
        <f t="shared" si="195"/>
        <v>0</v>
      </c>
      <c r="X271" s="161">
        <f t="shared" si="195"/>
        <v>0</v>
      </c>
      <c r="Y271" s="161">
        <f t="shared" si="195"/>
        <v>0</v>
      </c>
      <c r="Z271" s="161">
        <f t="shared" si="195"/>
        <v>0</v>
      </c>
      <c r="AA271" s="161">
        <f t="shared" si="195"/>
        <v>0</v>
      </c>
      <c r="AB271" s="161">
        <f t="shared" si="195"/>
        <v>0</v>
      </c>
      <c r="AC271" s="161">
        <f t="shared" si="195"/>
        <v>0</v>
      </c>
      <c r="AD271" s="161">
        <f t="shared" si="195"/>
        <v>0</v>
      </c>
      <c r="AE271" s="161">
        <f t="shared" si="195"/>
        <v>0</v>
      </c>
      <c r="AF271" s="174">
        <f t="shared" si="19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6"/>
        <v>0</v>
      </c>
      <c r="D272" s="161">
        <f t="shared" si="196"/>
        <v>0</v>
      </c>
      <c r="E272" s="161">
        <f t="shared" si="196"/>
        <v>0</v>
      </c>
      <c r="F272" s="161">
        <f t="shared" si="196"/>
        <v>0</v>
      </c>
      <c r="G272" s="161">
        <f t="shared" si="196"/>
        <v>0</v>
      </c>
      <c r="H272" s="161">
        <f t="shared" si="196"/>
        <v>0</v>
      </c>
      <c r="I272" s="161">
        <f t="shared" si="196"/>
        <v>0</v>
      </c>
      <c r="J272" s="161">
        <f t="shared" si="196"/>
        <v>0</v>
      </c>
      <c r="K272" s="161">
        <f t="shared" si="196"/>
        <v>0</v>
      </c>
      <c r="L272" s="161">
        <f t="shared" si="196"/>
        <v>0</v>
      </c>
      <c r="M272" s="161">
        <f t="shared" si="196"/>
        <v>0</v>
      </c>
      <c r="N272" s="161">
        <f t="shared" si="196"/>
        <v>0</v>
      </c>
      <c r="O272" s="161">
        <f t="shared" si="196"/>
        <v>0</v>
      </c>
      <c r="P272" s="161">
        <f t="shared" si="196"/>
        <v>0</v>
      </c>
      <c r="Q272" s="161">
        <f t="shared" si="196"/>
        <v>0</v>
      </c>
      <c r="R272" s="161">
        <f t="shared" si="196"/>
        <v>0</v>
      </c>
      <c r="S272" s="161">
        <f t="shared" si="195"/>
        <v>0</v>
      </c>
      <c r="T272" s="161">
        <f t="shared" si="195"/>
        <v>0</v>
      </c>
      <c r="U272" s="161">
        <f t="shared" si="195"/>
        <v>0</v>
      </c>
      <c r="V272" s="161">
        <f t="shared" si="195"/>
        <v>0</v>
      </c>
      <c r="W272" s="161">
        <f t="shared" si="195"/>
        <v>0</v>
      </c>
      <c r="X272" s="161">
        <f t="shared" si="195"/>
        <v>0</v>
      </c>
      <c r="Y272" s="161">
        <f t="shared" si="195"/>
        <v>0</v>
      </c>
      <c r="Z272" s="161">
        <f t="shared" si="195"/>
        <v>0</v>
      </c>
      <c r="AA272" s="161">
        <f t="shared" si="195"/>
        <v>0</v>
      </c>
      <c r="AB272" s="161">
        <f t="shared" si="195"/>
        <v>0</v>
      </c>
      <c r="AC272" s="161">
        <f t="shared" si="195"/>
        <v>0</v>
      </c>
      <c r="AD272" s="161">
        <f t="shared" si="195"/>
        <v>0</v>
      </c>
      <c r="AE272" s="161">
        <f t="shared" si="195"/>
        <v>0</v>
      </c>
      <c r="AF272" s="174">
        <f t="shared" si="19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6"/>
        <v>0</v>
      </c>
      <c r="D273" s="177">
        <f t="shared" si="196"/>
        <v>0</v>
      </c>
      <c r="E273" s="177">
        <f t="shared" si="196"/>
        <v>0</v>
      </c>
      <c r="F273" s="177">
        <f t="shared" si="196"/>
        <v>0</v>
      </c>
      <c r="G273" s="177">
        <f t="shared" si="196"/>
        <v>0</v>
      </c>
      <c r="H273" s="177">
        <f t="shared" si="196"/>
        <v>0</v>
      </c>
      <c r="I273" s="177">
        <f t="shared" si="196"/>
        <v>0</v>
      </c>
      <c r="J273" s="177">
        <f t="shared" si="196"/>
        <v>0</v>
      </c>
      <c r="K273" s="177">
        <f t="shared" si="196"/>
        <v>0</v>
      </c>
      <c r="L273" s="177">
        <f t="shared" si="196"/>
        <v>0</v>
      </c>
      <c r="M273" s="177">
        <f t="shared" si="196"/>
        <v>0</v>
      </c>
      <c r="N273" s="177">
        <f t="shared" si="196"/>
        <v>0</v>
      </c>
      <c r="O273" s="177">
        <f t="shared" si="196"/>
        <v>0</v>
      </c>
      <c r="P273" s="177">
        <f t="shared" si="196"/>
        <v>0</v>
      </c>
      <c r="Q273" s="177">
        <f t="shared" si="196"/>
        <v>0</v>
      </c>
      <c r="R273" s="177">
        <f t="shared" si="196"/>
        <v>0</v>
      </c>
      <c r="S273" s="177">
        <f t="shared" si="195"/>
        <v>0</v>
      </c>
      <c r="T273" s="177">
        <f t="shared" si="195"/>
        <v>0</v>
      </c>
      <c r="U273" s="177">
        <f t="shared" si="195"/>
        <v>0</v>
      </c>
      <c r="V273" s="177">
        <f t="shared" si="195"/>
        <v>0</v>
      </c>
      <c r="W273" s="177">
        <f t="shared" si="195"/>
        <v>0</v>
      </c>
      <c r="X273" s="177">
        <f t="shared" si="195"/>
        <v>0</v>
      </c>
      <c r="Y273" s="177">
        <f t="shared" si="195"/>
        <v>0</v>
      </c>
      <c r="Z273" s="177">
        <f t="shared" si="195"/>
        <v>0</v>
      </c>
      <c r="AA273" s="177">
        <f t="shared" si="195"/>
        <v>0</v>
      </c>
      <c r="AB273" s="177">
        <f t="shared" si="195"/>
        <v>0</v>
      </c>
      <c r="AC273" s="177">
        <f t="shared" si="195"/>
        <v>0</v>
      </c>
      <c r="AD273" s="177">
        <f t="shared" si="195"/>
        <v>0</v>
      </c>
      <c r="AE273" s="177">
        <f t="shared" si="195"/>
        <v>0</v>
      </c>
      <c r="AF273" s="178">
        <f t="shared" si="19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7">SUM(B169:B273)</f>
        <v>0</v>
      </c>
      <c r="C274" s="180">
        <f t="shared" si="197"/>
        <v>0</v>
      </c>
      <c r="D274" s="180">
        <f t="shared" si="197"/>
        <v>0</v>
      </c>
      <c r="E274" s="180">
        <f t="shared" si="197"/>
        <v>0</v>
      </c>
      <c r="F274" s="180">
        <f t="shared" si="197"/>
        <v>0</v>
      </c>
      <c r="G274" s="180">
        <f t="shared" si="197"/>
        <v>0</v>
      </c>
      <c r="H274" s="180">
        <f t="shared" si="197"/>
        <v>0</v>
      </c>
      <c r="I274" s="180">
        <f t="shared" si="197"/>
        <v>0</v>
      </c>
      <c r="J274" s="180">
        <f t="shared" si="197"/>
        <v>0</v>
      </c>
      <c r="K274" s="180">
        <f t="shared" si="197"/>
        <v>0</v>
      </c>
      <c r="L274" s="180">
        <f t="shared" si="197"/>
        <v>0</v>
      </c>
      <c r="M274" s="180">
        <f t="shared" ref="M274:N274" si="198">SUM(M169:M273)</f>
        <v>0</v>
      </c>
      <c r="N274" s="180">
        <f t="shared" si="198"/>
        <v>0</v>
      </c>
      <c r="O274" s="180">
        <f t="shared" ref="O274:P274" si="199">SUM(O169:O273)</f>
        <v>0</v>
      </c>
      <c r="P274" s="180">
        <f t="shared" si="199"/>
        <v>0</v>
      </c>
      <c r="Q274" s="180">
        <f t="shared" ref="Q274:R274" si="200">SUM(Q169:Q273)</f>
        <v>0</v>
      </c>
      <c r="R274" s="180">
        <f t="shared" si="200"/>
        <v>0</v>
      </c>
      <c r="S274" s="180">
        <f t="shared" si="197"/>
        <v>0</v>
      </c>
      <c r="T274" s="180">
        <f t="shared" si="197"/>
        <v>0</v>
      </c>
      <c r="U274" s="180">
        <f t="shared" si="197"/>
        <v>0</v>
      </c>
      <c r="V274" s="180">
        <f t="shared" si="197"/>
        <v>0</v>
      </c>
      <c r="W274" s="180">
        <f t="shared" si="197"/>
        <v>0</v>
      </c>
      <c r="X274" s="180">
        <f t="shared" si="197"/>
        <v>0</v>
      </c>
      <c r="Y274" s="180">
        <f t="shared" si="197"/>
        <v>0</v>
      </c>
      <c r="Z274" s="180">
        <f t="shared" si="197"/>
        <v>0</v>
      </c>
      <c r="AA274" s="180">
        <f t="shared" si="197"/>
        <v>0</v>
      </c>
      <c r="AB274" s="180">
        <f t="shared" si="197"/>
        <v>0</v>
      </c>
      <c r="AC274" s="180">
        <f t="shared" si="197"/>
        <v>0</v>
      </c>
      <c r="AD274" s="180">
        <f t="shared" si="197"/>
        <v>0</v>
      </c>
      <c r="AE274" s="180">
        <f t="shared" si="197"/>
        <v>0</v>
      </c>
      <c r="AF274" s="181">
        <f t="shared" si="197"/>
        <v>0</v>
      </c>
      <c r="AG274" s="182">
        <f t="shared" si="19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AE12:AF13 B9:AF10 C152:L152 C154:L159 B153:L153 B76:F90 B113:F115 B108:F108 B117:F124 B93:F96 G137:L151 G134:R134 G117:R130 AE85:AF90 S117:AF134 M137:AF159 G79:AD90 G76:AF77 B72:AD72 G93:AF115">
    <cfRule type="expression" dxfId="354" priority="106">
      <formula>B$9&gt;=20/24</formula>
    </cfRule>
  </conditionalFormatting>
  <conditionalFormatting sqref="B9:AF10 AE12:AF13 C152:L152 C154:L159 B153:L153 B76:F90 B113:F115 B108:F108 B117:F124 B93:F96 G137:L151 G134:R134 G117:R130 AE85:AF90 S117:AF134 M137:AF159 G79:AD90 G76:AF77 B72:AD72 G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AE14:AF53 B29:AD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E12:AF13 AE76:AF77 AE78:AG78 AE80:AF95 AE69:AF70 AE96:AG96 B71:AG71 B69:AD69 B76:AD96">
    <cfRule type="expression" dxfId="326" priority="105">
      <formula>B12&gt;$AG12*1</formula>
    </cfRule>
  </conditionalFormatting>
  <conditionalFormatting sqref="G79:AD83">
    <cfRule type="expression" dxfId="325" priority="115">
      <formula>G$9&gt;=20/24</formula>
    </cfRule>
    <cfRule type="expression" dxfId="324" priority="116">
      <formula>AND(G$9&gt;=14/24,G$9&lt;20/24)</formula>
    </cfRule>
    <cfRule type="expression" dxfId="323" priority="117">
      <formula>AND(G$9&gt;=8/24,G$9&lt;14/24)</formula>
    </cfRule>
    <cfRule type="expression" dxfId="322" priority="118">
      <formula>G$9&lt;8/24</formula>
    </cfRule>
  </conditionalFormatting>
  <conditionalFormatting sqref="G84:AD84">
    <cfRule type="expression" dxfId="321" priority="110">
      <formula>G$9&gt;=20/24</formula>
    </cfRule>
    <cfRule type="expression" dxfId="320" priority="111">
      <formula>AND(G$9&gt;=14/24,G$9&lt;20/24)</formula>
    </cfRule>
    <cfRule type="expression" dxfId="319" priority="112">
      <formula>AND(G$9&gt;=8/24,G$9&lt;14/24)</formula>
    </cfRule>
    <cfRule type="expression" dxfId="318" priority="113">
      <formula>G$9&lt;8/24</formula>
    </cfRule>
  </conditionalFormatting>
  <conditionalFormatting sqref="AE76:AF78 G78:AD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AE73:AF75">
    <cfRule type="expression" dxfId="313" priority="35">
      <formula>AE$9&gt;=20/24</formula>
    </cfRule>
    <cfRule type="expression" dxfId="312" priority="36">
      <formula>AND(AE$9&gt;=14/24,AE$9&lt;20/24)</formula>
    </cfRule>
    <cfRule type="expression" dxfId="311" priority="37">
      <formula>AND(AE$9&gt;=8/24,AE$9&lt;14/24)</formula>
    </cfRule>
    <cfRule type="expression" dxfId="310" priority="38">
      <formula>AE$9&lt;8/24</formula>
    </cfRule>
  </conditionalFormatting>
  <conditionalFormatting sqref="G79:AD81">
    <cfRule type="expression" dxfId="309" priority="133">
      <formula>G$9&gt;=20/24</formula>
    </cfRule>
    <cfRule type="expression" dxfId="308" priority="134">
      <formula>AND(G$9&gt;=14/24,G$9&lt;20/24)</formula>
    </cfRule>
    <cfRule type="expression" dxfId="307" priority="135">
      <formula>AND(G$9&gt;=8/24,G$9&lt;14/24)</formula>
    </cfRule>
    <cfRule type="expression" dxfId="306" priority="136">
      <formula>G$9&lt;8/24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Y79:AD83">
    <cfRule type="expression" dxfId="298" priority="137">
      <formula>Y$9&gt;=20/24</formula>
    </cfRule>
    <cfRule type="expression" dxfId="297" priority="138">
      <formula>AND(Y$9&gt;=14/24,Y$9&lt;20/24)</formula>
    </cfRule>
    <cfRule type="expression" dxfId="296" priority="139">
      <formula>AND(Y$9&gt;=8/24,Y$9&lt;14/24)</formula>
    </cfRule>
    <cfRule type="expression" dxfId="29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Y79:AF84">
    <cfRule type="expression" dxfId="289" priority="59">
      <formula>Y$9&gt;=20/24</formula>
    </cfRule>
    <cfRule type="expression" dxfId="288" priority="60">
      <formula>AND(Y$9&gt;=14/24,Y$9&lt;20/24)</formula>
    </cfRule>
    <cfRule type="expression" dxfId="287" priority="61">
      <formula>AND(Y$9&gt;=8/24,Y$9&lt;14/24)</formula>
    </cfRule>
    <cfRule type="expression" dxfId="28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E65:AF65">
    <cfRule type="expression" dxfId="285" priority="44">
      <formula>AE$9&gt;=20/24</formula>
    </cfRule>
    <cfRule type="expression" dxfId="284" priority="45">
      <formula>AND(AE$9&gt;=14/24,AE$9&lt;20/24)</formula>
    </cfRule>
    <cfRule type="expression" dxfId="283" priority="46">
      <formula>AND(AE$9&gt;=8/24,AE$9&lt;14/24)</formula>
    </cfRule>
    <cfRule type="expression" dxfId="282" priority="47">
      <formula>AE$9&lt;8/24</formula>
    </cfRule>
  </conditionalFormatting>
  <conditionalFormatting sqref="AE11:AF11 AE66:AF69 B54:AF62 B66:AD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E11:AF11">
    <cfRule type="expression" dxfId="275" priority="120">
      <formula>AE$9&gt;=20/24</formula>
    </cfRule>
    <cfRule type="expression" dxfId="274" priority="121">
      <formula>AND(AE$9&gt;=14/24,AE$9&lt;20/24)</formula>
    </cfRule>
    <cfRule type="expression" dxfId="273" priority="122">
      <formula>AND(AE$9&gt;=8/24,AE$9&lt;14/24)</formula>
    </cfRule>
    <cfRule type="expression" dxfId="272" priority="123">
      <formula>AE$9&lt;8/24</formula>
    </cfRule>
  </conditionalFormatting>
  <conditionalFormatting sqref="AE79:AF79">
    <cfRule type="expression" dxfId="271" priority="195">
      <formula>AE79&gt;$AG80*1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137:B152 B154:B159 B97:F107 C137:F151 B109:F112 B125:F134 G131:R133 B11:AD13">
    <cfRule type="expression" dxfId="204" priority="20">
      <formula>B$9&gt;=20/24</formula>
    </cfRule>
  </conditionalFormatting>
  <conditionalFormatting sqref="B137:B152 B154:B159 B97:F107 C137:F151 B109:F112 B125:F134 G131:R133 B11:AD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AD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AD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04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2026-05-18T15:17:03Z</dcterms:modified>
</cp:coreProperties>
</file>