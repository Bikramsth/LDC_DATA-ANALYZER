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8" i="83" l="1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B70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D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I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F108" i="83"/>
  <c r="E108" i="83"/>
  <c r="D108" i="83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H92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E92" i="83"/>
  <c r="D92" i="83"/>
  <c r="C92" i="83"/>
  <c r="AI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BC89" i="83"/>
  <c r="BB89" i="83"/>
  <c r="AI89" i="83"/>
  <c r="AH89" i="83"/>
  <c r="BU88" i="83"/>
  <c r="BT88" i="83"/>
  <c r="BQ88" i="83"/>
  <c r="BM88" i="83"/>
  <c r="BL88" i="83"/>
  <c r="BI88" i="83"/>
  <c r="BE88" i="83"/>
  <c r="BD88" i="83"/>
  <c r="BA88" i="83"/>
  <c r="AI88" i="83"/>
  <c r="AH88" i="83"/>
  <c r="BV87" i="83"/>
  <c r="BS87" i="83"/>
  <c r="BO87" i="83"/>
  <c r="BN87" i="83"/>
  <c r="BK87" i="83"/>
  <c r="BG87" i="83"/>
  <c r="BF87" i="83"/>
  <c r="BC87" i="83"/>
  <c r="AI87" i="83"/>
  <c r="AH87" i="83"/>
  <c r="BU86" i="83"/>
  <c r="BQ86" i="83"/>
  <c r="BP86" i="83"/>
  <c r="BM86" i="83"/>
  <c r="BI86" i="83"/>
  <c r="BH86" i="83"/>
  <c r="BE86" i="83"/>
  <c r="BA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B82" i="83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F78" i="83"/>
  <c r="E78" i="83"/>
  <c r="D78" i="83"/>
  <c r="AI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E71" i="83"/>
  <c r="D71" i="83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O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R19" i="83"/>
  <c r="AQ19" i="83"/>
  <c r="AP19" i="83"/>
  <c r="AO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Q18" i="83"/>
  <c r="AP18" i="83"/>
  <c r="AO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R16" i="83"/>
  <c r="AR22" i="83" s="1"/>
  <c r="AQ16" i="83"/>
  <c r="AQ22" i="83" s="1"/>
  <c r="AP16" i="83"/>
  <c r="AP22" i="83" s="1"/>
  <c r="AO16" i="83"/>
  <c r="AO22" i="83" s="1"/>
  <c r="AO25" i="83" s="1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F5" i="83"/>
  <c r="E5" i="83"/>
  <c r="D5" i="83"/>
  <c r="C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AH122" i="83" l="1"/>
  <c r="B123" i="83"/>
  <c r="AM23" i="83" s="1"/>
  <c r="AI121" i="83"/>
  <c r="B113" i="83"/>
  <c r="B115" i="83" s="1"/>
  <c r="B116" i="83" s="1"/>
  <c r="AF5" i="83"/>
  <c r="B124" i="83"/>
  <c r="AR25" i="83"/>
  <c r="AQ25" i="83"/>
  <c r="G116" i="83"/>
  <c r="G7" i="83" s="1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E116" i="83" s="1"/>
  <c r="E7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F116" i="83" s="1"/>
  <c r="F7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E124" i="83"/>
  <c r="X116" i="83"/>
  <c r="X7" i="83" s="1"/>
  <c r="AH78" i="83"/>
  <c r="BF16" i="83"/>
  <c r="BF22" i="83" s="1"/>
  <c r="BF25" i="83" s="1"/>
  <c r="G124" i="83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C124" i="83" l="1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<sst xmlns="http://schemas.openxmlformats.org/spreadsheetml/2006/main" count="3582" uniqueCount="434">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</sst>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8.73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85" sqref="AE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152" sqref="C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1811.8</v>
      </c>
      <c r="C7" s="35">
        <f t="shared" si="1"/>
        <v>660.10000000000014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2399.5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31.5</v>
      </c>
      <c r="AI11" s="47">
        <f t="shared" ref="AI11:AI74" si="3">MIN(B11:AF11)</f>
        <v>31.5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41.7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41.7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35.799999999999997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35.799999999999997</v>
      </c>
      <c r="AI14" s="47">
        <f t="shared" si="3"/>
        <v>35.799999999999997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72.099999999999994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72.099999999999994</v>
      </c>
      <c r="AI15" s="47">
        <f t="shared" si="3"/>
        <v>72.099999999999994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60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60</v>
      </c>
      <c r="AI16" s="47">
        <f t="shared" si="3"/>
        <v>60</v>
      </c>
      <c r="AK16" s="49"/>
      <c r="AL16" s="52" t="s">
        <v>7</v>
      </c>
      <c r="AM16" s="57">
        <f t="shared" ref="AM16:AR16" si="4">B71</f>
        <v>1227.5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45.9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45.9</v>
      </c>
      <c r="AI17" s="47">
        <f t="shared" si="3"/>
        <v>45.9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45.4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45.4</v>
      </c>
      <c r="AI22" s="47">
        <f t="shared" si="3"/>
        <v>45.4</v>
      </c>
      <c r="AK22" s="49"/>
      <c r="AL22" s="59" t="s">
        <v>39</v>
      </c>
      <c r="AM22" s="60">
        <f t="shared" ref="AM22:BJ22" si="16">SUM(AM16:AM21)</f>
        <v>2399.5</v>
      </c>
      <c r="AN22" s="60">
        <f t="shared" si="16"/>
        <v>1296.1000000000001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36</v>
      </c>
      <c r="AI23" s="47">
        <f t="shared" si="3"/>
        <v>36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40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40</v>
      </c>
      <c r="AI24" s="47">
        <f t="shared" si="3"/>
        <v>40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35.1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35.1</v>
      </c>
      <c r="AI25" s="47">
        <f t="shared" si="3"/>
        <v>35.1</v>
      </c>
      <c r="AK25" s="49"/>
      <c r="AL25" s="59" t="s">
        <v>44</v>
      </c>
      <c r="AM25" s="60">
        <f t="shared" ref="AM25:BJ25" si="19">AM22+AM23</f>
        <v>1811.8</v>
      </c>
      <c r="AN25" s="60">
        <f t="shared" si="19"/>
        <v>660.10000000000014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30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30</v>
      </c>
      <c r="AI26" s="47">
        <f t="shared" si="3"/>
        <v>30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27.8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27.8</v>
      </c>
      <c r="AI27" s="47">
        <f t="shared" si="3"/>
        <v>27.8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36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36</v>
      </c>
      <c r="AI28" s="47">
        <f t="shared" si="3"/>
        <v>36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17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17</v>
      </c>
      <c r="AI31" s="47">
        <f t="shared" si="3"/>
        <v>17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18.2</v>
      </c>
      <c r="AI33" s="47">
        <f t="shared" si="3"/>
        <v>18.2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71.5+89.4</f>
        <v>160.9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160.9</v>
      </c>
      <c r="AI70" s="47">
        <f t="shared" si="3"/>
        <v>160.9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1227.5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1227.5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54.5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64.7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-636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1"/>
        <v>41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" si="32">SUM(B79:B91)</f>
        <v>353.1</v>
      </c>
      <c r="C92" s="70">
        <f t="shared" ref="B92:AG92" si="33">SUM(C79:C91)</f>
        <v>353.1</v>
      </c>
      <c r="D92" s="70">
        <f t="shared" si="33"/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353.1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-636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41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76.400000000000006</v>
      </c>
      <c r="C108" s="70">
        <f t="shared" ref="B108:AF108" si="37">SUMIF(C97:C107,"&gt;0")</f>
        <v>101</v>
      </c>
      <c r="D108" s="70">
        <f t="shared" si="37"/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2349.5</v>
      </c>
      <c r="C113" s="108">
        <f t="shared" ref="B113:AG113" si="39">C71+C78+C96+C92+C108+C112</f>
        <v>1296.1000000000001</v>
      </c>
      <c r="D113" s="108">
        <f t="shared" si="39"/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2349.5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2399.5</v>
      </c>
      <c r="C115" s="108">
        <f t="shared" ref="C115:AF115" si="41">C113+C114</f>
        <v>1296.1000000000001</v>
      </c>
      <c r="D115" s="108">
        <f t="shared" si="41"/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2399.5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1811.8</v>
      </c>
      <c r="C116" s="108">
        <f t="shared" ref="C116:AF116" si="43">C115-(C123)</f>
        <v>660.10000000000014</v>
      </c>
      <c r="D116" s="108">
        <f t="shared" si="43"/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1811.8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587.70000000000005</v>
      </c>
      <c r="C117" s="93">
        <f t="shared" ref="B117:AF122" si="45">IF(C97&lt;0,C97*-1,0)</f>
        <v>636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636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6">SUM(B117:B122)</f>
        <v>587.70000000000005</v>
      </c>
      <c r="C123" s="70">
        <f t="shared" ref="B123:AF123" si="47">SUM(C117:C122)</f>
        <v>636</v>
      </c>
      <c r="D123" s="70">
        <f t="shared" si="47"/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636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8">B108-B123</f>
        <v>-511.30000000000007</v>
      </c>
      <c r="C124" s="70">
        <f t="shared" ref="B124:AF124" si="49">C108-C123</f>
        <v>-535</v>
      </c>
      <c r="D124" s="70">
        <f t="shared" si="49"/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-535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50.045000000000002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130.9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132.6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133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121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191.43999999999997</v>
      </c>
      <c r="C135" s="114">
        <f t="shared" ref="C135:O135" si="51">SUM(C26,C32,C45:C46,C82,C84:C85,C87,C89,C137:C142,C177,C183,C189,C198,C200,C212,C219,C222:C223,C230,C232,C234,C238:C240,C242:C244,C249,C255:C256,C258:C260,C161,C166)</f>
        <v>80.84</v>
      </c>
      <c r="D135" s="114">
        <f t="shared" si="51"/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191.43999999999997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19</v>
      </c>
      <c r="AI138" s="47">
        <f t="shared" si="24"/>
        <v>14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-102.2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97.3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16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-375.2</v>
      </c>
      <c r="AI146" s="47">
        <f t="shared" ref="AI146:AI158" si="55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66</v>
      </c>
      <c r="AI147" s="47">
        <f t="shared" si="55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-22.4</v>
      </c>
      <c r="AI148" s="47">
        <f t="shared" si="55"/>
        <v>-22.4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121.5</v>
      </c>
      <c r="AI149" s="47">
        <f t="shared" si="55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30.7</v>
      </c>
      <c r="AI150" s="47">
        <f t="shared" si="55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7.2</v>
      </c>
      <c r="AI151" s="47">
        <f t="shared" si="55"/>
        <v>7.2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Fill Time: 1055.3 Hrs)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1517.27</v>
      </c>
      <c r="AI158" s="47">
        <f t="shared" si="55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25 B113:B115 C109:AF115 B108:AF108 B117:B124 C152:AF152 C154:AF159 B153:AF153 B93:AF96 B76:D90 B72:L72 C134:AF134 D126:AF133 D137:AF151">
    <cfRule type="expression" dxfId="172" priority="106">
      <formula>B$9&gt;=20/24</formula>
    </cfRule>
  </conditionalFormatting>
  <conditionalFormatting sqref="B9:AF10 C11:AA13 AB12:AF13 E76:AF77 E80:E90 F82:G90 H84:J90 K85:AF90 C97:AF107 C117:AF125 B113:B115 C109:AF115 B108:AF108 B117:B124 C152:AF152 C154:AF159 B153:AF153 B93:AF96 B76:D90 B72:L72 C134:AF134 D126:AF133 D137:AF151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1:AG71 B91:AF91 B69:AA69 B92:AE96 D76:AF78 D79:AC90 B76:C90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 C126:C133 C137:C151">
    <cfRule type="expression" dxfId="22" priority="20">
      <formula>B$9&gt;=20/24</formula>
    </cfRule>
  </conditionalFormatting>
  <conditionalFormatting sqref="B11:B13 B97:B107 B137:B152 B109:B112 B125:B134 B154:B159 C126:C133 C137:C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2026-05-21T19:27:31Z</dcterms:modified>
</cp:coreProperties>
</file>